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stat\excel\data\"/>
    </mc:Choice>
  </mc:AlternateContent>
  <xr:revisionPtr revIDLastSave="0" documentId="13_ncr:1_{20447B43-77EC-49E3-A115-08E001656D4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q만 추정" sheetId="1" r:id="rId1"/>
    <sheet name="mpq 추정" sheetId="7" r:id="rId2"/>
    <sheet name="m 추정" sheetId="8" r:id="rId3"/>
  </sheets>
  <definedNames>
    <definedName name="solver_adj" localSheetId="1" hidden="1">'mpq 추정'!$G$2:$G$4</definedName>
    <definedName name="solver_adj" localSheetId="0" hidden="1">'pq만 추정'!$G$3:$G$4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'mpq 추정'!$G$4</definedName>
    <definedName name="solver_lhs1" localSheetId="0" hidden="1">'pq만 추정'!$G$4</definedName>
    <definedName name="solver_lhs2" localSheetId="1" hidden="1">'mpq 추정'!$G$3</definedName>
    <definedName name="solver_lhs2" localSheetId="0" hidden="1">'pq만 추정'!$G$3</definedName>
    <definedName name="solver_lhs3" localSheetId="1" hidden="1">'mpq 추정'!$G$3</definedName>
    <definedName name="solver_lhs3" localSheetId="0" hidden="1">'pq만 추정'!$G$3</definedName>
    <definedName name="solver_lhs4" localSheetId="1" hidden="1">'mpq 추정'!$G$4</definedName>
    <definedName name="solver_lhs4" localSheetId="0" hidden="1">'pq만 추정'!$G$4</definedName>
    <definedName name="solver_lhs5" localSheetId="1" hidden="1">'mpq 추정'!$G$2</definedName>
    <definedName name="solver_lhs5" localSheetId="0" hidden="1">'pq만 추정'!$G$4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2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4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pt" localSheetId="1" hidden="1">'mpq 추정'!$J$7</definedName>
    <definedName name="solver_opt" localSheetId="0" hidden="1">'pq만 추정'!$J$7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el1" localSheetId="1" hidden="1">3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1</definedName>
    <definedName name="solver_rel3" localSheetId="0" hidden="1">1</definedName>
    <definedName name="solver_rel4" localSheetId="1" hidden="1">1</definedName>
    <definedName name="solver_rel4" localSheetId="0" hidden="1">1</definedName>
    <definedName name="solver_rel5" localSheetId="1" hidden="1">3</definedName>
    <definedName name="solver_rel5" localSheetId="0" hidden="1">3</definedName>
    <definedName name="solver_rhs1" localSheetId="1" hidden="1">0</definedName>
    <definedName name="solver_rhs1" localSheetId="0" hidden="1">0</definedName>
    <definedName name="solver_rhs2" localSheetId="1" hidden="1">0.000000000001</definedName>
    <definedName name="solver_rhs2" localSheetId="0" hidden="1">0.000000000001</definedName>
    <definedName name="solver_rhs3" localSheetId="1" hidden="1">1</definedName>
    <definedName name="solver_rhs3" localSheetId="0" hidden="1">1</definedName>
    <definedName name="solver_rhs4" localSheetId="1" hidden="1">1</definedName>
    <definedName name="solver_rhs4" localSheetId="0" hidden="1">1</definedName>
    <definedName name="solver_rhs5" localSheetId="1" hidden="1">'mpq 추정'!$J$3</definedName>
    <definedName name="solver_rhs5" localSheetId="0" hidden="1">0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E11" i="1"/>
  <c r="B11" i="1"/>
  <c r="A16" i="8"/>
  <c r="J3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G11" i="7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7" i="7"/>
  <c r="G6" i="7"/>
  <c r="G8" i="7" l="1"/>
  <c r="B40" i="7"/>
  <c r="C40" i="7" s="1"/>
  <c r="H14" i="7"/>
  <c r="J14" i="7" s="1"/>
  <c r="H15" i="7"/>
  <c r="J15" i="7" s="1"/>
  <c r="H16" i="7"/>
  <c r="J16" i="7" s="1"/>
  <c r="H17" i="7"/>
  <c r="J17" i="7" s="1"/>
  <c r="H18" i="7"/>
  <c r="J18" i="7" s="1"/>
  <c r="H19" i="7"/>
  <c r="J19" i="7" s="1"/>
  <c r="H20" i="7"/>
  <c r="J20" i="7" s="1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11" i="7"/>
  <c r="H12" i="7"/>
  <c r="J12" i="7" s="1"/>
  <c r="H13" i="7"/>
  <c r="J13" i="7" s="1"/>
  <c r="B11" i="7"/>
  <c r="C11" i="7" s="1"/>
  <c r="D11" i="7" s="1"/>
  <c r="E11" i="7" s="1"/>
  <c r="B12" i="7"/>
  <c r="C12" i="7" s="1"/>
  <c r="B13" i="7"/>
  <c r="C13" i="7" s="1"/>
  <c r="B14" i="7"/>
  <c r="C14" i="7" s="1"/>
  <c r="B15" i="7"/>
  <c r="C15" i="7" s="1"/>
  <c r="B16" i="7"/>
  <c r="C16" i="7" s="1"/>
  <c r="B17" i="7"/>
  <c r="C17" i="7" s="1"/>
  <c r="B18" i="7"/>
  <c r="C18" i="7" s="1"/>
  <c r="B19" i="7"/>
  <c r="C19" i="7" s="1"/>
  <c r="B20" i="7"/>
  <c r="C20" i="7" s="1"/>
  <c r="B21" i="7"/>
  <c r="C21" i="7" s="1"/>
  <c r="B22" i="7"/>
  <c r="C22" i="7" s="1"/>
  <c r="B23" i="7"/>
  <c r="C23" i="7" s="1"/>
  <c r="B24" i="7"/>
  <c r="C24" i="7" s="1"/>
  <c r="B25" i="7"/>
  <c r="C25" i="7" s="1"/>
  <c r="B26" i="7"/>
  <c r="C26" i="7" s="1"/>
  <c r="B27" i="7"/>
  <c r="C27" i="7" s="1"/>
  <c r="B28" i="7"/>
  <c r="C28" i="7" s="1"/>
  <c r="B29" i="7"/>
  <c r="C29" i="7" s="1"/>
  <c r="B30" i="7"/>
  <c r="C30" i="7" s="1"/>
  <c r="B31" i="7"/>
  <c r="C31" i="7" s="1"/>
  <c r="B32" i="7"/>
  <c r="C32" i="7" s="1"/>
  <c r="B33" i="7"/>
  <c r="C33" i="7" s="1"/>
  <c r="B34" i="7"/>
  <c r="C34" i="7" s="1"/>
  <c r="B35" i="7"/>
  <c r="C35" i="7" s="1"/>
  <c r="B36" i="7"/>
  <c r="C36" i="7" s="1"/>
  <c r="B37" i="7"/>
  <c r="C37" i="7" s="1"/>
  <c r="B38" i="7"/>
  <c r="C38" i="7" s="1"/>
  <c r="B39" i="7"/>
  <c r="C39" i="7" s="1"/>
  <c r="J23" i="1"/>
  <c r="J22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G11" i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7" i="1"/>
  <c r="J11" i="7" l="1"/>
  <c r="J7" i="7" s="1"/>
  <c r="J8" i="7"/>
  <c r="D12" i="7"/>
  <c r="E12" i="7" s="1"/>
  <c r="G6" i="1"/>
  <c r="H40" i="1" s="1"/>
  <c r="G8" i="1" l="1"/>
  <c r="D13" i="7"/>
  <c r="B39" i="1"/>
  <c r="C39" i="1" s="1"/>
  <c r="H14" i="1"/>
  <c r="J14" i="1" s="1"/>
  <c r="H21" i="1"/>
  <c r="H32" i="1"/>
  <c r="B29" i="1"/>
  <c r="C29" i="1" s="1"/>
  <c r="B40" i="1"/>
  <c r="C40" i="1" s="1"/>
  <c r="B27" i="1"/>
  <c r="C27" i="1" s="1"/>
  <c r="B26" i="1"/>
  <c r="C26" i="1" s="1"/>
  <c r="B37" i="1"/>
  <c r="C37" i="1" s="1"/>
  <c r="B31" i="1"/>
  <c r="C31" i="1" s="1"/>
  <c r="H27" i="1"/>
  <c r="H37" i="1"/>
  <c r="B21" i="1"/>
  <c r="C21" i="1" s="1"/>
  <c r="B24" i="1"/>
  <c r="C24" i="1" s="1"/>
  <c r="H16" i="1"/>
  <c r="J16" i="1" s="1"/>
  <c r="H26" i="1"/>
  <c r="B32" i="1"/>
  <c r="C32" i="1" s="1"/>
  <c r="B19" i="1"/>
  <c r="C19" i="1" s="1"/>
  <c r="B17" i="1"/>
  <c r="C17" i="1" s="1"/>
  <c r="B33" i="1"/>
  <c r="C33" i="1" s="1"/>
  <c r="B12" i="1"/>
  <c r="C12" i="1" s="1"/>
  <c r="B28" i="1"/>
  <c r="C28" i="1" s="1"/>
  <c r="B15" i="1"/>
  <c r="C15" i="1" s="1"/>
  <c r="B14" i="1"/>
  <c r="C14" i="1" s="1"/>
  <c r="B30" i="1"/>
  <c r="C30" i="1" s="1"/>
  <c r="H20" i="1"/>
  <c r="H36" i="1"/>
  <c r="H31" i="1"/>
  <c r="H22" i="1"/>
  <c r="H38" i="1"/>
  <c r="H25" i="1"/>
  <c r="H11" i="1"/>
  <c r="B38" i="1"/>
  <c r="C38" i="1" s="1"/>
  <c r="B25" i="1"/>
  <c r="C25" i="1" s="1"/>
  <c r="B20" i="1"/>
  <c r="C20" i="1" s="1"/>
  <c r="B36" i="1"/>
  <c r="C36" i="1" s="1"/>
  <c r="B23" i="1"/>
  <c r="C23" i="1" s="1"/>
  <c r="B22" i="1"/>
  <c r="C22" i="1" s="1"/>
  <c r="H12" i="1"/>
  <c r="J12" i="1" s="1"/>
  <c r="H28" i="1"/>
  <c r="H23" i="1"/>
  <c r="H39" i="1"/>
  <c r="H15" i="1"/>
  <c r="J15" i="1" s="1"/>
  <c r="H17" i="1"/>
  <c r="J17" i="1" s="1"/>
  <c r="H33" i="1"/>
  <c r="H34" i="1"/>
  <c r="B16" i="1"/>
  <c r="C16" i="1" s="1"/>
  <c r="B18" i="1"/>
  <c r="C18" i="1" s="1"/>
  <c r="B34" i="1"/>
  <c r="C34" i="1" s="1"/>
  <c r="H24" i="1"/>
  <c r="H19" i="1"/>
  <c r="H35" i="1"/>
  <c r="H30" i="1"/>
  <c r="H13" i="1"/>
  <c r="J13" i="1" s="1"/>
  <c r="H29" i="1"/>
  <c r="H18" i="1"/>
  <c r="B35" i="1"/>
  <c r="C35" i="1" s="1"/>
  <c r="B13" i="1"/>
  <c r="C13" i="1" s="1"/>
  <c r="D11" i="1" l="1"/>
  <c r="J21" i="1"/>
  <c r="E13" i="7"/>
  <c r="D14" i="7"/>
  <c r="J8" i="1"/>
  <c r="J11" i="1"/>
  <c r="J18" i="1"/>
  <c r="J20" i="1"/>
  <c r="J19" i="1"/>
  <c r="D12" i="1" l="1"/>
  <c r="D13" i="1" s="1"/>
  <c r="E13" i="1" s="1"/>
  <c r="E14" i="7"/>
  <c r="D15" i="7"/>
  <c r="J7" i="1"/>
  <c r="E12" i="1" l="1"/>
  <c r="D14" i="1"/>
  <c r="D15" i="1" s="1"/>
  <c r="E15" i="7"/>
  <c r="D16" i="7"/>
  <c r="E14" i="1" l="1"/>
  <c r="E16" i="7"/>
  <c r="D17" i="7"/>
  <c r="D16" i="1"/>
  <c r="E15" i="1"/>
  <c r="E17" i="7" l="1"/>
  <c r="D18" i="7"/>
  <c r="D17" i="1"/>
  <c r="E16" i="1"/>
  <c r="E18" i="7" l="1"/>
  <c r="D19" i="7"/>
  <c r="D18" i="1"/>
  <c r="E17" i="1"/>
  <c r="E19" i="7" l="1"/>
  <c r="D20" i="7"/>
  <c r="D19" i="1"/>
  <c r="E18" i="1"/>
  <c r="E20" i="7" l="1"/>
  <c r="D21" i="7"/>
  <c r="D20" i="1"/>
  <c r="E19" i="1"/>
  <c r="E21" i="7" l="1"/>
  <c r="D22" i="7"/>
  <c r="D21" i="1"/>
  <c r="E20" i="1"/>
  <c r="E22" i="7" l="1"/>
  <c r="D23" i="7"/>
  <c r="D22" i="1"/>
  <c r="E21" i="1"/>
  <c r="E23" i="7" l="1"/>
  <c r="D24" i="7"/>
  <c r="D23" i="1"/>
  <c r="E22" i="1"/>
  <c r="E24" i="7" l="1"/>
  <c r="D25" i="7"/>
  <c r="D24" i="1"/>
  <c r="E23" i="1"/>
  <c r="E25" i="7" l="1"/>
  <c r="D26" i="7"/>
  <c r="D25" i="1"/>
  <c r="E24" i="1"/>
  <c r="E26" i="7" l="1"/>
  <c r="D27" i="7"/>
  <c r="D26" i="1"/>
  <c r="E25" i="1"/>
  <c r="E27" i="7" l="1"/>
  <c r="D28" i="7"/>
  <c r="D27" i="1"/>
  <c r="E26" i="1"/>
  <c r="E28" i="7" l="1"/>
  <c r="D29" i="7"/>
  <c r="D28" i="1"/>
  <c r="E27" i="1"/>
  <c r="E29" i="7" l="1"/>
  <c r="D30" i="7"/>
  <c r="D29" i="1"/>
  <c r="E28" i="1"/>
  <c r="E30" i="7" l="1"/>
  <c r="D31" i="7"/>
  <c r="D30" i="1"/>
  <c r="E29" i="1"/>
  <c r="E31" i="7" l="1"/>
  <c r="D32" i="7"/>
  <c r="D31" i="1"/>
  <c r="E30" i="1"/>
  <c r="E32" i="7" l="1"/>
  <c r="D33" i="7"/>
  <c r="D32" i="1"/>
  <c r="E31" i="1"/>
  <c r="E33" i="7" l="1"/>
  <c r="D34" i="7"/>
  <c r="D33" i="1"/>
  <c r="E32" i="1"/>
  <c r="E34" i="7" l="1"/>
  <c r="D35" i="7"/>
  <c r="D34" i="1"/>
  <c r="E33" i="1"/>
  <c r="E35" i="7" l="1"/>
  <c r="D36" i="7"/>
  <c r="D35" i="1"/>
  <c r="E34" i="1"/>
  <c r="E36" i="7" l="1"/>
  <c r="D37" i="7"/>
  <c r="D36" i="1"/>
  <c r="E35" i="1"/>
  <c r="E37" i="7" l="1"/>
  <c r="D38" i="7"/>
  <c r="D37" i="1"/>
  <c r="E36" i="1"/>
  <c r="E38" i="7" l="1"/>
  <c r="D39" i="7"/>
  <c r="D38" i="1"/>
  <c r="E37" i="1"/>
  <c r="E39" i="7" l="1"/>
  <c r="D40" i="7"/>
  <c r="E40" i="7" s="1"/>
  <c r="D39" i="1"/>
  <c r="E38" i="1"/>
  <c r="D40" i="1" l="1"/>
  <c r="E40" i="1" s="1"/>
  <c r="E39" i="1"/>
</calcChain>
</file>

<file path=xl/sharedStrings.xml><?xml version="1.0" encoding="utf-8"?>
<sst xmlns="http://schemas.openxmlformats.org/spreadsheetml/2006/main" count="61" uniqueCount="41">
  <si>
    <t>t</t>
  </si>
  <si>
    <t>f(t)</t>
  </si>
  <si>
    <t>s(t)</t>
  </si>
  <si>
    <t>S(t)</t>
  </si>
  <si>
    <t>S(t)^2</t>
  </si>
  <si>
    <t>m=</t>
    <phoneticPr fontId="1" type="noConversion"/>
  </si>
  <si>
    <t>p=</t>
    <phoneticPr fontId="1" type="noConversion"/>
  </si>
  <si>
    <t>q=</t>
    <phoneticPr fontId="1" type="noConversion"/>
  </si>
  <si>
    <t>p+q=</t>
    <phoneticPr fontId="1" type="noConversion"/>
  </si>
  <si>
    <t>q/p=</t>
    <phoneticPr fontId="1" type="noConversion"/>
  </si>
  <si>
    <t>과거데이터</t>
    <phoneticPr fontId="1" type="noConversion"/>
  </si>
  <si>
    <t>시작 t?</t>
    <phoneticPr fontId="1" type="noConversion"/>
  </si>
  <si>
    <t>예측치</t>
    <phoneticPr fontId="1" type="noConversion"/>
  </si>
  <si>
    <t>예상 t</t>
    <phoneticPr fontId="1" type="noConversion"/>
  </si>
  <si>
    <t>오차제곱</t>
    <phoneticPr fontId="1" type="noConversion"/>
  </si>
  <si>
    <t>오차평균근</t>
    <phoneticPr fontId="1" type="noConversion"/>
  </si>
  <si>
    <t>R2</t>
    <phoneticPr fontId="1" type="noConversion"/>
  </si>
  <si>
    <t>peak</t>
    <phoneticPr fontId="1" type="noConversion"/>
  </si>
  <si>
    <t>RMSE</t>
    <phoneticPr fontId="1" type="noConversion"/>
  </si>
  <si>
    <t>과거누적+1</t>
    <phoneticPr fontId="1" type="noConversion"/>
  </si>
  <si>
    <t>해찾기 제한조건</t>
    <phoneticPr fontId="1" type="noConversion"/>
  </si>
  <si>
    <t>2. p값은 1보다 작거나 같아야 한다</t>
    <phoneticPr fontId="1" type="noConversion"/>
  </si>
  <si>
    <t>4. q값이 1보다 작거나 같아야 한다</t>
    <phoneticPr fontId="1" type="noConversion"/>
  </si>
  <si>
    <t>1. m값은 과거누적값보다 커야한다</t>
    <phoneticPr fontId="1" type="noConversion"/>
  </si>
  <si>
    <t>3. p값은 0(0.000000000001)보다 커야한다</t>
    <phoneticPr fontId="1" type="noConversion"/>
  </si>
  <si>
    <t>5. q값이 0보다 커야한다</t>
    <phoneticPr fontId="1" type="noConversion"/>
  </si>
  <si>
    <t xml:space="preserve">본 화면은 잠재시장(m 값)을 추정하시는데 도움을 드리기 위한 화면입니다.
</t>
    <phoneticPr fontId="1" type="noConversion"/>
  </si>
  <si>
    <t>본 화면에 따른 추정치는 참고용일 뿐이며, 보다 적확한 추정치를 알고 계시는 경우 그 값을 활용해 주십시오.</t>
  </si>
  <si>
    <t>1. 대상 제품을 사용할 주체(사람, 가정, 중소기업)의 수는 대략 얼마입니까?</t>
    <phoneticPr fontId="1" type="noConversion"/>
  </si>
  <si>
    <t>(명, 개)</t>
    <phoneticPr fontId="1" type="noConversion"/>
  </si>
  <si>
    <t>(개)</t>
    <phoneticPr fontId="1" type="noConversion"/>
  </si>
  <si>
    <t>2. 대상 제품을 사용할 주체는 평균적으로 대략 몇 개의 제품을 사용할 것으로 예상하십니까?</t>
    <phoneticPr fontId="1" type="noConversion"/>
  </si>
  <si>
    <t>3. 대상 제품의 가격은 대략 얼마입니까?</t>
    <phoneticPr fontId="1" type="noConversion"/>
  </si>
  <si>
    <t>(원)</t>
    <phoneticPr fontId="1" type="noConversion"/>
  </si>
  <si>
    <t>원</t>
    <phoneticPr fontId="1" type="noConversion"/>
  </si>
  <si>
    <t>잠재시장규모는 아래와 같이 추정됩니다. 이것을 적용하시려면 '확인'을 눌러주세요. 수정을 원하시면 수정 후 '확인'을 눌러주세요.</t>
    <phoneticPr fontId="1" type="noConversion"/>
  </si>
  <si>
    <t>초기값 조건</t>
    <phoneticPr fontId="1" type="noConversion"/>
  </si>
  <si>
    <t>p = 0.01</t>
    <phoneticPr fontId="1" type="noConversion"/>
  </si>
  <si>
    <t>q = 0.1</t>
    <phoneticPr fontId="1" type="noConversion"/>
  </si>
  <si>
    <t>m =  과거누적+1</t>
    <phoneticPr fontId="1" type="noConversion"/>
  </si>
  <si>
    <t>(참고로 2019년 현재 전세계 인구수: 60억명, 국내 인구수: 5,000만명, 국내 가구수: 2,000만개, 국내 중소기업수: 700만개)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</si>
</sst>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 "/>
    <numFmt numFmtId="177" formatCode="#,##0.0000000"/>
    <numFmt numFmtId="178" formatCode="0.00_ "/>
    <numFmt numFmtId="179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u/>
      <sz val="10"/>
      <color indexed="12"/>
      <name val="Arial"/>
      <family val="2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  <xf numFmtId="41" fontId="6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8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4" xfId="0" applyBorder="1" applyAlignment="1">
      <alignment horizontal="right" vertical="center"/>
    </xf>
    <xf numFmtId="0" fontId="0" fillId="0" borderId="0" xfId="0" applyBorder="1">
      <alignment vertical="center"/>
    </xf>
    <xf numFmtId="0" fontId="0" fillId="2" borderId="13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0" xfId="0" applyAlignment="1">
      <alignment vertical="center"/>
    </xf>
    <xf numFmtId="41" fontId="0" fillId="0" borderId="21" xfId="4" applyFont="1" applyBorder="1" applyAlignment="1">
      <alignment vertical="center"/>
    </xf>
    <xf numFmtId="0" fontId="0" fillId="0" borderId="21" xfId="0" applyBorder="1" applyAlignment="1">
      <alignment vertical="center"/>
    </xf>
    <xf numFmtId="41" fontId="0" fillId="0" borderId="21" xfId="4" applyFont="1" applyBorder="1">
      <alignment vertical="center"/>
    </xf>
    <xf numFmtId="179" fontId="0" fillId="0" borderId="21" xfId="0" applyNumberFormat="1" applyBorder="1">
      <alignment vertical="center"/>
    </xf>
    <xf numFmtId="0" fontId="5" fillId="0" borderId="18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</cellXfs>
  <cellStyles count="5">
    <cellStyle name="쉼표 [0]" xfId="4" builtinId="6"/>
    <cellStyle name="표준" xfId="0" builtinId="0"/>
    <cellStyle name="표준 2" xfId="1" xr:uid="{00000000-0005-0000-0000-000002000000}"/>
    <cellStyle name="표준 3" xfId="2" xr:uid="{00000000-0005-0000-0000-000003000000}"/>
    <cellStyle name="하이퍼링크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'pq만 추정'!$H$10</c:f>
              <c:strCache>
                <c:ptCount val="1"/>
                <c:pt idx="0">
                  <c:v>예측치</c:v>
                </c:pt>
              </c:strCache>
            </c:strRef>
          </c:tx>
          <c:marker>
            <c:symbol val="none"/>
          </c:marker>
          <c:val>
            <c:numRef>
              <c:f>'pq만 추정'!$H$11:$H$40</c:f>
              <c:numCache>
                <c:formatCode>0_ </c:formatCode>
                <c:ptCount val="30"/>
                <c:pt idx="0">
                  <c:v>10000</c:v>
                </c:pt>
                <c:pt idx="1">
                  <c:v>10930.473089039564</c:v>
                </c:pt>
                <c:pt idx="2">
                  <c:v>11921.422276911413</c:v>
                </c:pt>
                <c:pt idx="3">
                  <c:v>12971.233458308858</c:v>
                </c:pt>
                <c:pt idx="4">
                  <c:v>14076.912403518978</c:v>
                </c:pt>
                <c:pt idx="5">
                  <c:v>15233.87765549693</c:v>
                </c:pt>
                <c:pt idx="6">
                  <c:v>16435.767723498677</c:v>
                </c:pt>
                <c:pt idx="7">
                  <c:v>17674.2774466786</c:v>
                </c:pt>
                <c:pt idx="8">
                  <c:v>18939.040915002704</c:v>
                </c:pt>
                <c:pt idx="9">
                  <c:v>20217.580067990748</c:v>
                </c:pt>
                <c:pt idx="10">
                  <c:v>21495.338541034198</c:v>
                </c:pt>
                <c:pt idx="11">
                  <c:v>22755.818972306024</c:v>
                </c:pt>
                <c:pt idx="12">
                  <c:v>23980.838363354425</c:v>
                </c:pt>
                <c:pt idx="13">
                  <c:v>25150.909920013852</c:v>
                </c:pt>
                <c:pt idx="14">
                  <c:v>26245.751097929235</c:v>
                </c:pt>
                <c:pt idx="15">
                  <c:v>27244.906749718713</c:v>
                </c:pt>
                <c:pt idx="16">
                  <c:v>28128.464189602946</c:v>
                </c:pt>
                <c:pt idx="17">
                  <c:v>28877.824966769345</c:v>
                </c:pt>
                <c:pt idx="18">
                  <c:v>29476.487796209025</c:v>
                </c:pt>
                <c:pt idx="19">
                  <c:v>29910.790144336093</c:v>
                </c:pt>
                <c:pt idx="20">
                  <c:v>30170.553890051015</c:v>
                </c:pt>
                <c:pt idx="21">
                  <c:v>30249.584211162906</c:v>
                </c:pt>
                <c:pt idx="22">
                  <c:v>30145.980494815802</c:v>
                </c:pt>
                <c:pt idx="23">
                  <c:v>29862.232811126611</c:v>
                </c:pt>
                <c:pt idx="24">
                  <c:v>29405.095622066889</c:v>
                </c:pt>
                <c:pt idx="25">
                  <c:v>28785.249616410012</c:v>
                </c:pt>
                <c:pt idx="26">
                  <c:v>28016.780361919627</c:v>
                </c:pt>
                <c:pt idx="27">
                  <c:v>27116.516601867075</c:v>
                </c:pt>
                <c:pt idx="28">
                  <c:v>26103.279900963083</c:v>
                </c:pt>
                <c:pt idx="29">
                  <c:v>24997.100265612251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8E-40E7-AF48-396C58C85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18112"/>
        <c:axId val="47338560"/>
      </c:lineChart>
      <c:scatterChart>
        <c:scatterStyle val="lineMarker"/>
        <c:varyColors val="0"/>
        <c:ser>
          <c:idx val="1"/>
          <c:order val="1"/>
          <c:tx>
            <c:strRef>
              <c:f>'pq만 추정'!$I$10</c:f>
              <c:strCache>
                <c:ptCount val="1"/>
                <c:pt idx="0">
                  <c:v>과거데이터</c:v>
                </c:pt>
              </c:strCache>
            </c:strRef>
          </c:tx>
          <c:spPr>
            <a:ln w="28575">
              <a:noFill/>
            </a:ln>
          </c:spPr>
          <c:yVal>
            <c:numRef>
              <c:f>'pq만 추정'!$I$11:$I$40</c:f>
              <c:numCache>
                <c:formatCode>General</c:formatCode>
                <c:ptCount val="30"/>
                <c:pt idx="0">
                  <c:v>3000</c:v>
                </c:pt>
                <c:pt idx="1">
                  <c:v>4922.5669603742499</c:v>
                </c:pt>
                <c:pt idx="2">
                  <c:v>8036.7683325937978</c:v>
                </c:pt>
                <c:pt idx="3">
                  <c:v>13014.096507882239</c:v>
                </c:pt>
                <c:pt idx="4">
                  <c:v>20796.658715471189</c:v>
                </c:pt>
                <c:pt idx="5">
                  <c:v>32538.522064221863</c:v>
                </c:pt>
                <c:pt idx="6">
                  <c:v>49259.374440785621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8E-40E7-AF48-396C58C85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8112"/>
        <c:axId val="47338560"/>
      </c:scatterChart>
      <c:catAx>
        <c:axId val="53018112"/>
        <c:scaling>
          <c:orientation val="minMax"/>
        </c:scaling>
        <c:delete val="0"/>
        <c:axPos val="b"/>
        <c:majorTickMark val="out"/>
        <c:minorTickMark val="none"/>
        <c:tickLblPos val="nextTo"/>
        <c:crossAx val="47338560"/>
        <c:crosses val="autoZero"/>
        <c:auto val="1"/>
        <c:lblAlgn val="ctr"/>
        <c:lblOffset val="100"/>
        <c:noMultiLvlLbl val="0"/>
      </c:catAx>
      <c:valAx>
        <c:axId val="4733856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301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'mpq 추정'!$H$10</c:f>
              <c:strCache>
                <c:ptCount val="1"/>
                <c:pt idx="0">
                  <c:v>예측치</c:v>
                </c:pt>
              </c:strCache>
            </c:strRef>
          </c:tx>
          <c:marker>
            <c:symbol val="none"/>
          </c:marker>
          <c:val>
            <c:numRef>
              <c:f>'mpq 추정'!$H$11:$H$40</c:f>
              <c:numCache>
                <c:formatCode>0_ </c:formatCode>
                <c:ptCount val="30"/>
                <c:pt idx="0">
                  <c:v>38.21</c:v>
                </c:pt>
                <c:pt idx="1">
                  <c:v>41.765337673220174</c:v>
                </c:pt>
                <c:pt idx="2">
                  <c:v>45.551754520078511</c:v>
                </c:pt>
                <c:pt idx="3">
                  <c:v>49.563083044198152</c:v>
                </c:pt>
                <c:pt idx="4">
                  <c:v>53.787882293846017</c:v>
                </c:pt>
                <c:pt idx="5">
                  <c:v>58.208646521653776</c:v>
                </c:pt>
                <c:pt idx="6">
                  <c:v>62.801068471488442</c:v>
                </c:pt>
                <c:pt idx="7">
                  <c:v>67.533414123758931</c:v>
                </c:pt>
                <c:pt idx="8">
                  <c:v>72.366075336225336</c:v>
                </c:pt>
                <c:pt idx="9">
                  <c:v>77.251373439792644</c:v>
                </c:pt>
                <c:pt idx="10">
                  <c:v>82.133688565291678</c:v>
                </c:pt>
                <c:pt idx="11">
                  <c:v>86.94998429318133</c:v>
                </c:pt>
                <c:pt idx="12">
                  <c:v>91.63078338637726</c:v>
                </c:pt>
                <c:pt idx="13">
                  <c:v>96.101626804372927</c:v>
                </c:pt>
                <c:pt idx="14">
                  <c:v>100.2850149451876</c:v>
                </c:pt>
                <c:pt idx="15">
                  <c:v>104.1027886906752</c:v>
                </c:pt>
                <c:pt idx="16">
                  <c:v>107.47886166847285</c:v>
                </c:pt>
                <c:pt idx="17">
                  <c:v>110.34216919802567</c:v>
                </c:pt>
                <c:pt idx="18">
                  <c:v>112.62965986931469</c:v>
                </c:pt>
                <c:pt idx="19">
                  <c:v>114.28912914150821</c:v>
                </c:pt>
                <c:pt idx="20">
                  <c:v>115.28168641388491</c:v>
                </c:pt>
                <c:pt idx="21">
                  <c:v>115.58366127085345</c:v>
                </c:pt>
                <c:pt idx="22">
                  <c:v>115.18779147069117</c:v>
                </c:pt>
                <c:pt idx="23">
                  <c:v>114.10359157131477</c:v>
                </c:pt>
                <c:pt idx="24">
                  <c:v>112.35687037191759</c:v>
                </c:pt>
                <c:pt idx="25">
                  <c:v>109.98843878430263</c:v>
                </c:pt>
                <c:pt idx="26">
                  <c:v>107.05211776289489</c:v>
                </c:pt>
                <c:pt idx="27">
                  <c:v>103.61220993573409</c:v>
                </c:pt>
                <c:pt idx="28">
                  <c:v>99.740632501579938</c:v>
                </c:pt>
                <c:pt idx="29">
                  <c:v>95.513920114904394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0-4E17-84F4-9C64B853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56704"/>
        <c:axId val="54173696"/>
      </c:lineChart>
      <c:scatterChart>
        <c:scatterStyle val="lineMarker"/>
        <c:varyColors val="0"/>
        <c:ser>
          <c:idx val="1"/>
          <c:order val="1"/>
          <c:tx>
            <c:strRef>
              <c:f>'mpq 추정'!$I$10</c:f>
              <c:strCache>
                <c:ptCount val="1"/>
                <c:pt idx="0">
                  <c:v>과거데이터</c:v>
                </c:pt>
              </c:strCache>
            </c:strRef>
          </c:tx>
          <c:spPr>
            <a:ln w="28575">
              <a:noFill/>
            </a:ln>
          </c:spPr>
          <c:yVal>
            <c:numRef>
              <c:f>'mpq 추정'!$I$11:$I$40</c:f>
              <c:numCache>
                <c:formatCode>General</c:formatCode>
                <c:ptCount val="30"/>
                <c:pt idx="0">
                  <c:v>100</c:v>
                </c:pt>
                <c:pt idx="1">
                  <c:v>200</c:v>
                </c:pt>
                <c:pt idx="2">
                  <c:v>320</c:v>
                </c:pt>
                <c:pt idx="3">
                  <c:v>450</c:v>
                </c:pt>
                <c:pt idx="4">
                  <c:v>650</c:v>
                </c:pt>
                <c:pt idx="5">
                  <c:v>900</c:v>
                </c:pt>
                <c:pt idx="6">
                  <c:v>1200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A0-4E17-84F4-9C64B8530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6704"/>
        <c:axId val="54173696"/>
      </c:scatterChart>
      <c:catAx>
        <c:axId val="5325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54173696"/>
        <c:crosses val="autoZero"/>
        <c:auto val="1"/>
        <c:lblAlgn val="ctr"/>
        <c:lblOffset val="100"/>
        <c:noMultiLvlLbl val="0"/>
      </c:catAx>
      <c:valAx>
        <c:axId val="54173696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crossAx val="5325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200025</xdr:rowOff>
    </xdr:from>
    <xdr:to>
      <xdr:col>3</xdr:col>
      <xdr:colOff>382341</xdr:colOff>
      <xdr:row>7</xdr:row>
      <xdr:rowOff>89023</xdr:rowOff>
    </xdr:to>
    <xdr:pic>
      <xdr:nvPicPr>
        <xdr:cNvPr id="2" name="Picture 2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200025"/>
          <a:ext cx="2534991" cy="13844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628650</xdr:colOff>
      <xdr:row>2</xdr:row>
      <xdr:rowOff>9525</xdr:rowOff>
    </xdr:from>
    <xdr:to>
      <xdr:col>4</xdr:col>
      <xdr:colOff>390525</xdr:colOff>
      <xdr:row>5</xdr:row>
      <xdr:rowOff>19050</xdr:rowOff>
    </xdr:to>
    <xdr:pic>
      <xdr:nvPicPr>
        <xdr:cNvPr id="3" name="Picture 7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990850" y="438150"/>
          <a:ext cx="4667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9</xdr:row>
      <xdr:rowOff>9525</xdr:rowOff>
    </xdr:from>
    <xdr:to>
      <xdr:col>20</xdr:col>
      <xdr:colOff>228600</xdr:colOff>
      <xdr:row>30</xdr:row>
      <xdr:rowOff>161925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200025</xdr:rowOff>
    </xdr:from>
    <xdr:to>
      <xdr:col>3</xdr:col>
      <xdr:colOff>382341</xdr:colOff>
      <xdr:row>7</xdr:row>
      <xdr:rowOff>98548</xdr:rowOff>
    </xdr:to>
    <xdr:pic>
      <xdr:nvPicPr>
        <xdr:cNvPr id="2" name="Picture 2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200025"/>
          <a:ext cx="2534991" cy="13844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628650</xdr:colOff>
      <xdr:row>2</xdr:row>
      <xdr:rowOff>9525</xdr:rowOff>
    </xdr:from>
    <xdr:to>
      <xdr:col>4</xdr:col>
      <xdr:colOff>390525</xdr:colOff>
      <xdr:row>5</xdr:row>
      <xdr:rowOff>19050</xdr:rowOff>
    </xdr:to>
    <xdr:pic>
      <xdr:nvPicPr>
        <xdr:cNvPr id="3" name="Picture 7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990850" y="438150"/>
          <a:ext cx="4667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9</xdr:row>
      <xdr:rowOff>0</xdr:rowOff>
    </xdr:from>
    <xdr:to>
      <xdr:col>20</xdr:col>
      <xdr:colOff>228600</xdr:colOff>
      <xdr:row>30</xdr:row>
      <xdr:rowOff>152400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0"/>
  <sheetViews>
    <sheetView tabSelected="1" workbookViewId="0">
      <selection activeCell="J12" sqref="J12"/>
    </sheetView>
  </sheetViews>
  <sheetFormatPr defaultRowHeight="16.5" x14ac:dyDescent="0.3"/>
  <cols>
    <col min="2" max="2" width="13" customWidth="1"/>
    <col min="4" max="4" width="9.25" customWidth="1"/>
    <col min="5" max="5" width="15.125" bestFit="1" customWidth="1"/>
    <col min="7" max="7" width="11" customWidth="1"/>
    <col min="8" max="8" width="9.625" customWidth="1"/>
    <col min="9" max="9" width="10.125" customWidth="1"/>
    <col min="10" max="10" width="11.75" customWidth="1"/>
  </cols>
  <sheetData>
    <row r="1" spans="1:11" ht="17.25" thickBot="1" x14ac:dyDescent="0.35"/>
    <row r="2" spans="1:11" ht="17.25" thickBot="1" x14ac:dyDescent="0.35">
      <c r="F2" s="22" t="s">
        <v>5</v>
      </c>
      <c r="G2" s="20">
        <v>1000000</v>
      </c>
      <c r="I2" s="21"/>
      <c r="J2" s="1" t="s">
        <v>36</v>
      </c>
      <c r="K2" s="21"/>
    </row>
    <row r="3" spans="1:11" x14ac:dyDescent="0.3">
      <c r="F3" s="16" t="s">
        <v>6</v>
      </c>
      <c r="G3" s="3">
        <v>0.01</v>
      </c>
      <c r="I3" s="21"/>
      <c r="J3" s="1" t="s">
        <v>37</v>
      </c>
      <c r="K3" s="21"/>
    </row>
    <row r="4" spans="1:11" ht="17.25" thickBot="1" x14ac:dyDescent="0.35">
      <c r="F4" s="23" t="s">
        <v>7</v>
      </c>
      <c r="G4" s="5">
        <v>0.1</v>
      </c>
      <c r="I4" s="21"/>
      <c r="J4" s="1" t="s">
        <v>38</v>
      </c>
      <c r="K4" s="21"/>
    </row>
    <row r="6" spans="1:11" x14ac:dyDescent="0.3">
      <c r="F6" s="6" t="s">
        <v>8</v>
      </c>
      <c r="G6" s="7">
        <f>G3+G4</f>
        <v>0.11</v>
      </c>
      <c r="I6" s="2" t="s">
        <v>11</v>
      </c>
      <c r="J6" s="2">
        <v>0</v>
      </c>
    </row>
    <row r="7" spans="1:11" x14ac:dyDescent="0.3">
      <c r="F7" s="6" t="s">
        <v>9</v>
      </c>
      <c r="G7" s="7">
        <f>G4/G3</f>
        <v>10</v>
      </c>
      <c r="I7" s="2" t="s">
        <v>15</v>
      </c>
      <c r="J7" s="2">
        <f>(AVERAGE(J11:J40))^0.5</f>
        <v>14746.341803499752</v>
      </c>
    </row>
    <row r="8" spans="1:11" x14ac:dyDescent="0.3">
      <c r="F8" s="7" t="s">
        <v>17</v>
      </c>
      <c r="G8" s="7">
        <f>LN(G7)/G6</f>
        <v>20.932591754491327</v>
      </c>
      <c r="I8" s="2" t="s">
        <v>16</v>
      </c>
      <c r="J8" s="24">
        <f>(CORREL(H11:H40,I11:I40))^2</f>
        <v>0.91707736475687263</v>
      </c>
    </row>
    <row r="9" spans="1:11" ht="17.25" thickBot="1" x14ac:dyDescent="0.35"/>
    <row r="10" spans="1:11" x14ac:dyDescent="0.3">
      <c r="A10" s="7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G10" s="7" t="s">
        <v>13</v>
      </c>
      <c r="H10" s="10" t="s">
        <v>12</v>
      </c>
      <c r="I10" s="14" t="s">
        <v>10</v>
      </c>
      <c r="J10" s="12" t="s">
        <v>14</v>
      </c>
    </row>
    <row r="11" spans="1:11" x14ac:dyDescent="0.3">
      <c r="A11" s="8">
        <v>0</v>
      </c>
      <c r="B11" s="9">
        <f>((($G$6^2)/$G$3)*EXP(-$G$6*A11))/(1+($G$7*EXP(-$G$6*A11)))^2</f>
        <v>0.01</v>
      </c>
      <c r="C11" s="8">
        <f>B11*$G$2</f>
        <v>10000</v>
      </c>
      <c r="D11" s="8">
        <f>C11</f>
        <v>10000</v>
      </c>
      <c r="E11" s="8">
        <f>D11*D11</f>
        <v>100000000</v>
      </c>
      <c r="G11" s="7">
        <f>J6</f>
        <v>0</v>
      </c>
      <c r="H11" s="11">
        <f>$G$2*((($G$6^2)/$G$3)*EXP(-$G$6*G11))/(1+($G$7*EXP(-$G$6*G11)))^2</f>
        <v>10000</v>
      </c>
      <c r="I11" s="15">
        <v>3000</v>
      </c>
      <c r="J11" s="13">
        <f>IF(ISBLANK(I11),"",(I11-H11)^2)</f>
        <v>49000000</v>
      </c>
    </row>
    <row r="12" spans="1:11" x14ac:dyDescent="0.3">
      <c r="A12" s="8">
        <v>1</v>
      </c>
      <c r="B12" s="9">
        <f t="shared" ref="B12:B40" si="0">((($G$6^2)/$G$3)*EXP(-$G$6*A12))/(1+($G$7*EXP(-$G$6*A12)))^2</f>
        <v>1.0930473089039563E-2</v>
      </c>
      <c r="C12" s="8">
        <f t="shared" ref="C12:C40" si="1">B12*$G$2</f>
        <v>10930.473089039564</v>
      </c>
      <c r="D12" s="8">
        <f>C12+D11</f>
        <v>20930.473089039566</v>
      </c>
      <c r="E12" s="8">
        <f t="shared" ref="E12:E40" si="2">D12*D12</f>
        <v>438084703.73100948</v>
      </c>
      <c r="G12" s="7">
        <f>G11+1</f>
        <v>1</v>
      </c>
      <c r="H12" s="11">
        <f t="shared" ref="H12:H40" si="3">$G$2*((($G$6^2)/$G$3)*EXP(-$G$6*G12))/(1+($G$7*EXP(-$G$6*G12)))^2</f>
        <v>10930.473089039564</v>
      </c>
      <c r="I12" s="15">
        <v>4922.5669603742499</v>
      </c>
      <c r="J12" s="13">
        <f t="shared" ref="J12:J40" si="4">IF(ISBLANK(I12),"",(I12-H12)^2)</f>
        <v>36094936.050854243</v>
      </c>
    </row>
    <row r="13" spans="1:11" x14ac:dyDescent="0.3">
      <c r="A13" s="8">
        <v>2</v>
      </c>
      <c r="B13" s="9">
        <f t="shared" si="0"/>
        <v>1.1921422276911413E-2</v>
      </c>
      <c r="C13" s="8">
        <f t="shared" si="1"/>
        <v>11921.422276911413</v>
      </c>
      <c r="D13" s="8">
        <f t="shared" ref="D13:D40" si="5">C13+D12</f>
        <v>32851.895365950979</v>
      </c>
      <c r="E13" s="8">
        <f t="shared" si="2"/>
        <v>1079247029.1353915</v>
      </c>
      <c r="G13" s="7">
        <f t="shared" ref="G13:G40" si="6">G12+1</f>
        <v>2</v>
      </c>
      <c r="H13" s="11">
        <f t="shared" si="3"/>
        <v>11921.422276911413</v>
      </c>
      <c r="I13" s="15">
        <v>8036.7683325937978</v>
      </c>
      <c r="J13" s="13">
        <f t="shared" si="4"/>
        <v>15090536.267102405</v>
      </c>
    </row>
    <row r="14" spans="1:11" x14ac:dyDescent="0.3">
      <c r="A14" s="8">
        <v>3</v>
      </c>
      <c r="B14" s="9">
        <f t="shared" si="0"/>
        <v>1.297123345830886E-2</v>
      </c>
      <c r="C14" s="8">
        <f t="shared" si="1"/>
        <v>12971.23345830886</v>
      </c>
      <c r="D14" s="8">
        <f t="shared" si="5"/>
        <v>45823.128824259838</v>
      </c>
      <c r="E14" s="8">
        <f t="shared" si="2"/>
        <v>2099759135.2447128</v>
      </c>
      <c r="G14" s="7">
        <f t="shared" si="6"/>
        <v>3</v>
      </c>
      <c r="H14" s="11">
        <f t="shared" si="3"/>
        <v>12971.233458308858</v>
      </c>
      <c r="I14" s="15">
        <v>13014.096507882239</v>
      </c>
      <c r="J14" s="13">
        <f t="shared" si="4"/>
        <v>1837.2410187301541</v>
      </c>
    </row>
    <row r="15" spans="1:11" x14ac:dyDescent="0.3">
      <c r="A15" s="8">
        <v>4</v>
      </c>
      <c r="B15" s="9">
        <f t="shared" si="0"/>
        <v>1.4076912403518979E-2</v>
      </c>
      <c r="C15" s="8">
        <f t="shared" si="1"/>
        <v>14076.91240351898</v>
      </c>
      <c r="D15" s="8">
        <f t="shared" si="5"/>
        <v>59900.04122777882</v>
      </c>
      <c r="E15" s="8">
        <f t="shared" si="2"/>
        <v>3588014939.0896025</v>
      </c>
      <c r="G15" s="7">
        <f t="shared" si="6"/>
        <v>4</v>
      </c>
      <c r="H15" s="11">
        <f t="shared" si="3"/>
        <v>14076.912403518978</v>
      </c>
      <c r="I15" s="15">
        <v>20796.658715471189</v>
      </c>
      <c r="J15" s="13">
        <f t="shared" si="4"/>
        <v>45154990.496995337</v>
      </c>
    </row>
    <row r="16" spans="1:11" x14ac:dyDescent="0.3">
      <c r="A16" s="8">
        <v>5</v>
      </c>
      <c r="B16" s="9">
        <f t="shared" si="0"/>
        <v>1.5233877655496931E-2</v>
      </c>
      <c r="C16" s="8">
        <f t="shared" si="1"/>
        <v>15233.877655496932</v>
      </c>
      <c r="D16" s="8">
        <f t="shared" si="5"/>
        <v>75133.91888327575</v>
      </c>
      <c r="E16" s="8">
        <f t="shared" si="2"/>
        <v>5645105766.7586603</v>
      </c>
      <c r="G16" s="7">
        <f t="shared" si="6"/>
        <v>5</v>
      </c>
      <c r="H16" s="11">
        <f t="shared" si="3"/>
        <v>15233.87765549693</v>
      </c>
      <c r="I16" s="15">
        <v>32538.522064221863</v>
      </c>
      <c r="J16" s="13">
        <f>IF(ISBLANK(I16),"",(I16-H16)^2)</f>
        <v>299450718.11241508</v>
      </c>
    </row>
    <row r="17" spans="1:10" x14ac:dyDescent="0.3">
      <c r="A17" s="8">
        <v>6</v>
      </c>
      <c r="B17" s="9">
        <f t="shared" si="0"/>
        <v>1.6435767723498678E-2</v>
      </c>
      <c r="C17" s="8">
        <f t="shared" si="1"/>
        <v>16435.767723498677</v>
      </c>
      <c r="D17" s="8">
        <f t="shared" si="5"/>
        <v>91569.686606774427</v>
      </c>
      <c r="E17" s="8">
        <f t="shared" si="2"/>
        <v>8385007505.2628841</v>
      </c>
      <c r="G17" s="7">
        <f t="shared" si="6"/>
        <v>6</v>
      </c>
      <c r="H17" s="11">
        <f t="shared" si="3"/>
        <v>16435.767723498677</v>
      </c>
      <c r="I17" s="15">
        <v>49259.374440785621</v>
      </c>
      <c r="J17" s="13">
        <f t="shared" si="4"/>
        <v>1077389157.9311247</v>
      </c>
    </row>
    <row r="18" spans="1:10" x14ac:dyDescent="0.3">
      <c r="A18" s="8">
        <v>7</v>
      </c>
      <c r="B18" s="9">
        <f t="shared" si="0"/>
        <v>1.7674277446678599E-2</v>
      </c>
      <c r="C18" s="8">
        <f t="shared" si="1"/>
        <v>17674.2774466786</v>
      </c>
      <c r="D18" s="8">
        <f t="shared" si="5"/>
        <v>109243.96405345303</v>
      </c>
      <c r="E18" s="8">
        <f t="shared" si="2"/>
        <v>11934243682.112139</v>
      </c>
      <c r="G18" s="7">
        <f t="shared" si="6"/>
        <v>7</v>
      </c>
      <c r="H18" s="11">
        <f t="shared" si="3"/>
        <v>17674.2774466786</v>
      </c>
      <c r="I18" s="18"/>
      <c r="J18" s="13" t="str">
        <f t="shared" si="4"/>
        <v/>
      </c>
    </row>
    <row r="19" spans="1:10" x14ac:dyDescent="0.3">
      <c r="A19" s="8">
        <v>8</v>
      </c>
      <c r="B19" s="9">
        <f t="shared" si="0"/>
        <v>1.8939040915002703E-2</v>
      </c>
      <c r="C19" s="8">
        <f t="shared" si="1"/>
        <v>18939.040915002704</v>
      </c>
      <c r="D19" s="8">
        <f t="shared" si="5"/>
        <v>128183.00496845573</v>
      </c>
      <c r="E19" s="8">
        <f t="shared" si="2"/>
        <v>16430882762.743147</v>
      </c>
      <c r="G19" s="7">
        <f t="shared" si="6"/>
        <v>8</v>
      </c>
      <c r="H19" s="11">
        <f t="shared" si="3"/>
        <v>18939.040915002704</v>
      </c>
      <c r="I19" s="18"/>
      <c r="J19" s="13" t="str">
        <f t="shared" si="4"/>
        <v/>
      </c>
    </row>
    <row r="20" spans="1:10" x14ac:dyDescent="0.3">
      <c r="A20" s="8">
        <v>9</v>
      </c>
      <c r="B20" s="9">
        <f t="shared" si="0"/>
        <v>2.0217580067990747E-2</v>
      </c>
      <c r="C20" s="8">
        <f t="shared" si="1"/>
        <v>20217.580067990748</v>
      </c>
      <c r="D20" s="8">
        <f t="shared" si="5"/>
        <v>148400.58503644649</v>
      </c>
      <c r="E20" s="8">
        <f t="shared" si="2"/>
        <v>22022733639.159584</v>
      </c>
      <c r="G20" s="7">
        <f t="shared" si="6"/>
        <v>9</v>
      </c>
      <c r="H20" s="11">
        <f t="shared" si="3"/>
        <v>20217.580067990748</v>
      </c>
      <c r="I20" s="18"/>
      <c r="J20" s="13" t="str">
        <f t="shared" si="4"/>
        <v/>
      </c>
    </row>
    <row r="21" spans="1:10" x14ac:dyDescent="0.3">
      <c r="A21" s="8">
        <v>10</v>
      </c>
      <c r="B21" s="9">
        <f t="shared" si="0"/>
        <v>2.1495338541034199E-2</v>
      </c>
      <c r="C21" s="8">
        <f t="shared" si="1"/>
        <v>21495.338541034198</v>
      </c>
      <c r="D21" s="8">
        <f t="shared" si="5"/>
        <v>169895.92357748069</v>
      </c>
      <c r="E21" s="8">
        <f t="shared" si="2"/>
        <v>28864624848.245159</v>
      </c>
      <c r="G21" s="7">
        <f t="shared" si="6"/>
        <v>10</v>
      </c>
      <c r="H21" s="11">
        <f t="shared" si="3"/>
        <v>21495.338541034198</v>
      </c>
      <c r="I21" s="18"/>
      <c r="J21" s="13" t="str">
        <f t="shared" si="4"/>
        <v/>
      </c>
    </row>
    <row r="22" spans="1:10" x14ac:dyDescent="0.3">
      <c r="A22" s="8">
        <v>11</v>
      </c>
      <c r="B22" s="9">
        <f t="shared" si="0"/>
        <v>2.2755818972306024E-2</v>
      </c>
      <c r="C22" s="8">
        <f t="shared" si="1"/>
        <v>22755.818972306024</v>
      </c>
      <c r="D22" s="8">
        <f t="shared" si="5"/>
        <v>192651.74254978672</v>
      </c>
      <c r="E22" s="8">
        <f t="shared" si="2"/>
        <v>37114693907.469307</v>
      </c>
      <c r="G22" s="7">
        <f t="shared" si="6"/>
        <v>11</v>
      </c>
      <c r="H22" s="11">
        <f t="shared" si="3"/>
        <v>22755.818972306024</v>
      </c>
      <c r="I22" s="18"/>
      <c r="J22" s="13" t="str">
        <f t="shared" si="4"/>
        <v/>
      </c>
    </row>
    <row r="23" spans="1:10" x14ac:dyDescent="0.3">
      <c r="A23" s="8">
        <v>12</v>
      </c>
      <c r="B23" s="9">
        <f t="shared" si="0"/>
        <v>2.3980838363354424E-2</v>
      </c>
      <c r="C23" s="8">
        <f t="shared" si="1"/>
        <v>23980.838363354425</v>
      </c>
      <c r="D23" s="8">
        <f t="shared" si="5"/>
        <v>216632.58091314114</v>
      </c>
      <c r="E23" s="8">
        <f t="shared" si="2"/>
        <v>46929675113.088638</v>
      </c>
      <c r="G23" s="7">
        <f t="shared" si="6"/>
        <v>12</v>
      </c>
      <c r="H23" s="11">
        <f t="shared" si="3"/>
        <v>23980.838363354425</v>
      </c>
      <c r="I23" s="18"/>
      <c r="J23" s="13" t="str">
        <f t="shared" si="4"/>
        <v/>
      </c>
    </row>
    <row r="24" spans="1:10" x14ac:dyDescent="0.3">
      <c r="A24" s="8">
        <v>13</v>
      </c>
      <c r="B24" s="9">
        <f t="shared" si="0"/>
        <v>2.5150909920013849E-2</v>
      </c>
      <c r="C24" s="8">
        <f t="shared" si="1"/>
        <v>25150.909920013848</v>
      </c>
      <c r="D24" s="8">
        <f t="shared" si="5"/>
        <v>241783.490833155</v>
      </c>
      <c r="E24" s="8">
        <f t="shared" si="2"/>
        <v>58459256439.466347</v>
      </c>
      <c r="G24" s="7">
        <f t="shared" si="6"/>
        <v>13</v>
      </c>
      <c r="H24" s="11">
        <f t="shared" si="3"/>
        <v>25150.909920013852</v>
      </c>
      <c r="I24" s="18"/>
      <c r="J24" s="13" t="str">
        <f t="shared" si="4"/>
        <v/>
      </c>
    </row>
    <row r="25" spans="1:10" x14ac:dyDescent="0.3">
      <c r="A25" s="8">
        <v>14</v>
      </c>
      <c r="B25" s="9">
        <f t="shared" si="0"/>
        <v>2.6245751097929235E-2</v>
      </c>
      <c r="C25" s="8">
        <f t="shared" si="1"/>
        <v>26245.751097929235</v>
      </c>
      <c r="D25" s="8">
        <f t="shared" si="5"/>
        <v>268029.24193108425</v>
      </c>
      <c r="E25" s="8">
        <f t="shared" si="2"/>
        <v>71839674530.151688</v>
      </c>
      <c r="G25" s="7">
        <f t="shared" si="6"/>
        <v>14</v>
      </c>
      <c r="H25" s="11">
        <f t="shared" si="3"/>
        <v>26245.751097929235</v>
      </c>
      <c r="I25" s="18"/>
      <c r="J25" s="13" t="str">
        <f t="shared" si="4"/>
        <v/>
      </c>
    </row>
    <row r="26" spans="1:10" x14ac:dyDescent="0.3">
      <c r="A26" s="8">
        <v>15</v>
      </c>
      <c r="B26" s="9">
        <f t="shared" si="0"/>
        <v>2.7244906749718713E-2</v>
      </c>
      <c r="C26" s="8">
        <f t="shared" si="1"/>
        <v>27244.906749718713</v>
      </c>
      <c r="D26" s="8">
        <f t="shared" si="5"/>
        <v>295274.14868080296</v>
      </c>
      <c r="E26" s="8">
        <f t="shared" si="2"/>
        <v>87186822879.172928</v>
      </c>
      <c r="G26" s="7">
        <f t="shared" si="6"/>
        <v>15</v>
      </c>
      <c r="H26" s="11">
        <f t="shared" si="3"/>
        <v>27244.906749718713</v>
      </c>
      <c r="I26" s="18"/>
      <c r="J26" s="13" t="str">
        <f t="shared" si="4"/>
        <v/>
      </c>
    </row>
    <row r="27" spans="1:10" x14ac:dyDescent="0.3">
      <c r="A27" s="8">
        <v>16</v>
      </c>
      <c r="B27" s="9">
        <f t="shared" si="0"/>
        <v>2.8128464189602943E-2</v>
      </c>
      <c r="C27" s="8">
        <f t="shared" si="1"/>
        <v>28128.464189602942</v>
      </c>
      <c r="D27" s="8">
        <f t="shared" si="5"/>
        <v>323402.61287040589</v>
      </c>
      <c r="E27" s="8">
        <f t="shared" si="2"/>
        <v>104589250011.40562</v>
      </c>
      <c r="G27" s="7">
        <f t="shared" si="6"/>
        <v>16</v>
      </c>
      <c r="H27" s="11">
        <f t="shared" si="3"/>
        <v>28128.464189602946</v>
      </c>
      <c r="I27" s="18"/>
      <c r="J27" s="13" t="str">
        <f t="shared" si="4"/>
        <v/>
      </c>
    </row>
    <row r="28" spans="1:10" x14ac:dyDescent="0.3">
      <c r="A28" s="8">
        <v>17</v>
      </c>
      <c r="B28" s="9">
        <f t="shared" si="0"/>
        <v>2.8877824966769345E-2</v>
      </c>
      <c r="C28" s="8">
        <f t="shared" si="1"/>
        <v>28877.824966769345</v>
      </c>
      <c r="D28" s="8">
        <f t="shared" si="5"/>
        <v>352280.43783717521</v>
      </c>
      <c r="E28" s="8">
        <f t="shared" si="2"/>
        <v>124101506882.75186</v>
      </c>
      <c r="G28" s="7">
        <f t="shared" si="6"/>
        <v>17</v>
      </c>
      <c r="H28" s="11">
        <f t="shared" si="3"/>
        <v>28877.824966769345</v>
      </c>
      <c r="I28" s="18"/>
      <c r="J28" s="13" t="str">
        <f t="shared" si="4"/>
        <v/>
      </c>
    </row>
    <row r="29" spans="1:10" x14ac:dyDescent="0.3">
      <c r="A29" s="8">
        <v>18</v>
      </c>
      <c r="B29" s="9">
        <f t="shared" si="0"/>
        <v>2.9476487796209028E-2</v>
      </c>
      <c r="C29" s="8">
        <f t="shared" si="1"/>
        <v>29476.487796209029</v>
      </c>
      <c r="D29" s="8">
        <f t="shared" si="5"/>
        <v>381756.92563338426</v>
      </c>
      <c r="E29" s="8">
        <f t="shared" si="2"/>
        <v>145738350269.05328</v>
      </c>
      <c r="G29" s="7">
        <f t="shared" si="6"/>
        <v>18</v>
      </c>
      <c r="H29" s="11">
        <f t="shared" si="3"/>
        <v>29476.487796209025</v>
      </c>
      <c r="I29" s="18"/>
      <c r="J29" s="13" t="str">
        <f t="shared" si="4"/>
        <v/>
      </c>
    </row>
    <row r="30" spans="1:10" x14ac:dyDescent="0.3">
      <c r="A30" s="8">
        <v>19</v>
      </c>
      <c r="B30" s="9">
        <f t="shared" si="0"/>
        <v>2.9910790144336095E-2</v>
      </c>
      <c r="C30" s="8">
        <f t="shared" si="1"/>
        <v>29910.790144336093</v>
      </c>
      <c r="D30" s="8">
        <f t="shared" si="5"/>
        <v>411667.71577772038</v>
      </c>
      <c r="E30" s="8">
        <f t="shared" si="2"/>
        <v>169470308213.64597</v>
      </c>
      <c r="G30" s="7">
        <f t="shared" si="6"/>
        <v>19</v>
      </c>
      <c r="H30" s="11">
        <f t="shared" si="3"/>
        <v>29910.790144336093</v>
      </c>
      <c r="I30" s="18"/>
      <c r="J30" s="13" t="str">
        <f t="shared" si="4"/>
        <v/>
      </c>
    </row>
    <row r="31" spans="1:10" x14ac:dyDescent="0.3">
      <c r="A31" s="8">
        <v>20</v>
      </c>
      <c r="B31" s="9">
        <f t="shared" si="0"/>
        <v>3.0170553890051011E-2</v>
      </c>
      <c r="C31" s="8">
        <f t="shared" si="1"/>
        <v>30170.553890051011</v>
      </c>
      <c r="D31" s="8">
        <f t="shared" si="5"/>
        <v>441838.26966777141</v>
      </c>
      <c r="E31" s="8">
        <f t="shared" si="2"/>
        <v>195221056543.01028</v>
      </c>
      <c r="G31" s="7">
        <f t="shared" si="6"/>
        <v>20</v>
      </c>
      <c r="H31" s="11">
        <f t="shared" si="3"/>
        <v>30170.553890051015</v>
      </c>
      <c r="I31" s="18"/>
      <c r="J31" s="13" t="str">
        <f t="shared" si="4"/>
        <v/>
      </c>
    </row>
    <row r="32" spans="1:10" x14ac:dyDescent="0.3">
      <c r="A32" s="8">
        <v>21</v>
      </c>
      <c r="B32" s="9">
        <f t="shared" si="0"/>
        <v>3.0249584211162906E-2</v>
      </c>
      <c r="C32" s="8">
        <f t="shared" si="1"/>
        <v>30249.584211162906</v>
      </c>
      <c r="D32" s="8">
        <f t="shared" si="5"/>
        <v>472087.85387893434</v>
      </c>
      <c r="E32" s="8">
        <f t="shared" si="2"/>
        <v>222866941780.01807</v>
      </c>
      <c r="G32" s="7">
        <f t="shared" si="6"/>
        <v>21</v>
      </c>
      <c r="H32" s="11">
        <f t="shared" si="3"/>
        <v>30249.584211162906</v>
      </c>
      <c r="I32" s="18"/>
      <c r="J32" s="13" t="str">
        <f t="shared" si="4"/>
        <v/>
      </c>
    </row>
    <row r="33" spans="1:10" x14ac:dyDescent="0.3">
      <c r="A33" s="8">
        <v>22</v>
      </c>
      <c r="B33" s="9">
        <f t="shared" si="0"/>
        <v>3.0145980494815802E-2</v>
      </c>
      <c r="C33" s="8">
        <f t="shared" si="1"/>
        <v>30145.980494815802</v>
      </c>
      <c r="D33" s="8">
        <f t="shared" si="5"/>
        <v>502233.83437375014</v>
      </c>
      <c r="E33" s="8">
        <f t="shared" si="2"/>
        <v>252238824389.75949</v>
      </c>
      <c r="G33" s="7">
        <f t="shared" si="6"/>
        <v>22</v>
      </c>
      <c r="H33" s="11">
        <f t="shared" si="3"/>
        <v>30145.980494815802</v>
      </c>
      <c r="I33" s="18"/>
      <c r="J33" s="13" t="str">
        <f t="shared" si="4"/>
        <v/>
      </c>
    </row>
    <row r="34" spans="1:10" x14ac:dyDescent="0.3">
      <c r="A34" s="8">
        <v>23</v>
      </c>
      <c r="B34" s="9">
        <f t="shared" si="0"/>
        <v>2.9862232811126609E-2</v>
      </c>
      <c r="C34" s="8">
        <f t="shared" si="1"/>
        <v>29862.232811126611</v>
      </c>
      <c r="D34" s="8">
        <f t="shared" si="5"/>
        <v>532096.06718487677</v>
      </c>
      <c r="E34" s="8">
        <f t="shared" si="2"/>
        <v>283126224713.61292</v>
      </c>
      <c r="G34" s="7">
        <f t="shared" si="6"/>
        <v>23</v>
      </c>
      <c r="H34" s="11">
        <f t="shared" si="3"/>
        <v>29862.232811126611</v>
      </c>
      <c r="I34" s="18"/>
      <c r="J34" s="13" t="str">
        <f t="shared" si="4"/>
        <v/>
      </c>
    </row>
    <row r="35" spans="1:10" x14ac:dyDescent="0.3">
      <c r="A35" s="8">
        <v>24</v>
      </c>
      <c r="B35" s="9">
        <f t="shared" si="0"/>
        <v>2.940509562206689E-2</v>
      </c>
      <c r="C35" s="8">
        <f t="shared" si="1"/>
        <v>29405.095622066889</v>
      </c>
      <c r="D35" s="8">
        <f t="shared" si="5"/>
        <v>561501.16280694364</v>
      </c>
      <c r="E35" s="8">
        <f t="shared" si="2"/>
        <v>315283555833.5498</v>
      </c>
      <c r="G35" s="7">
        <f t="shared" si="6"/>
        <v>24</v>
      </c>
      <c r="H35" s="11">
        <f t="shared" si="3"/>
        <v>29405.095622066889</v>
      </c>
      <c r="I35" s="18"/>
      <c r="J35" s="13" t="str">
        <f t="shared" si="4"/>
        <v/>
      </c>
    </row>
    <row r="36" spans="1:10" x14ac:dyDescent="0.3">
      <c r="A36" s="8">
        <v>25</v>
      </c>
      <c r="B36" s="9">
        <f t="shared" si="0"/>
        <v>2.8785249616410009E-2</v>
      </c>
      <c r="C36" s="8">
        <f t="shared" si="1"/>
        <v>28785.249616410008</v>
      </c>
      <c r="D36" s="8">
        <f t="shared" si="5"/>
        <v>590286.41242335364</v>
      </c>
      <c r="E36" s="8">
        <f t="shared" si="2"/>
        <v>348438048691.63354</v>
      </c>
      <c r="G36" s="7">
        <f t="shared" si="6"/>
        <v>25</v>
      </c>
      <c r="H36" s="11">
        <f t="shared" si="3"/>
        <v>28785.249616410012</v>
      </c>
      <c r="I36" s="18"/>
      <c r="J36" s="13" t="str">
        <f t="shared" si="4"/>
        <v/>
      </c>
    </row>
    <row r="37" spans="1:10" x14ac:dyDescent="0.3">
      <c r="A37" s="8">
        <v>26</v>
      </c>
      <c r="B37" s="9">
        <f t="shared" si="0"/>
        <v>2.8016780361919628E-2</v>
      </c>
      <c r="C37" s="8">
        <f t="shared" si="1"/>
        <v>28016.780361919627</v>
      </c>
      <c r="D37" s="8">
        <f t="shared" si="5"/>
        <v>618303.19278527331</v>
      </c>
      <c r="E37" s="8">
        <f t="shared" si="2"/>
        <v>382298838208.46283</v>
      </c>
      <c r="G37" s="7">
        <f t="shared" si="6"/>
        <v>26</v>
      </c>
      <c r="H37" s="11">
        <f t="shared" si="3"/>
        <v>28016.780361919627</v>
      </c>
      <c r="I37" s="18"/>
      <c r="J37" s="13" t="str">
        <f t="shared" si="4"/>
        <v/>
      </c>
    </row>
    <row r="38" spans="1:10" x14ac:dyDescent="0.3">
      <c r="A38" s="8">
        <v>27</v>
      </c>
      <c r="B38" s="9">
        <f t="shared" si="0"/>
        <v>2.7116516601867074E-2</v>
      </c>
      <c r="C38" s="8">
        <f t="shared" si="1"/>
        <v>27116.516601867075</v>
      </c>
      <c r="D38" s="8">
        <f t="shared" si="5"/>
        <v>645419.70938714035</v>
      </c>
      <c r="E38" s="8">
        <f t="shared" si="2"/>
        <v>416566601265.38068</v>
      </c>
      <c r="G38" s="7">
        <f t="shared" si="6"/>
        <v>27</v>
      </c>
      <c r="H38" s="11">
        <f t="shared" si="3"/>
        <v>27116.516601867075</v>
      </c>
      <c r="I38" s="18"/>
      <c r="J38" s="13" t="str">
        <f t="shared" si="4"/>
        <v/>
      </c>
    </row>
    <row r="39" spans="1:10" x14ac:dyDescent="0.3">
      <c r="A39" s="8">
        <v>28</v>
      </c>
      <c r="B39" s="9">
        <f t="shared" si="0"/>
        <v>2.6103279900963085E-2</v>
      </c>
      <c r="C39" s="8">
        <f t="shared" si="1"/>
        <v>26103.279900963087</v>
      </c>
      <c r="D39" s="8">
        <f t="shared" si="5"/>
        <v>671522.98928810342</v>
      </c>
      <c r="E39" s="8">
        <f t="shared" si="2"/>
        <v>450943125142.43024</v>
      </c>
      <c r="G39" s="7">
        <f t="shared" si="6"/>
        <v>28</v>
      </c>
      <c r="H39" s="11">
        <f t="shared" si="3"/>
        <v>26103.279900963083</v>
      </c>
      <c r="I39" s="18"/>
      <c r="J39" s="13" t="str">
        <f t="shared" si="4"/>
        <v/>
      </c>
    </row>
    <row r="40" spans="1:10" ht="17.25" thickBot="1" x14ac:dyDescent="0.35">
      <c r="A40" s="8">
        <v>29</v>
      </c>
      <c r="B40" s="9">
        <f t="shared" si="0"/>
        <v>2.4997100265612249E-2</v>
      </c>
      <c r="C40" s="8">
        <f t="shared" si="1"/>
        <v>24997.100265612247</v>
      </c>
      <c r="D40" s="8">
        <f t="shared" si="5"/>
        <v>696520.08955371566</v>
      </c>
      <c r="E40" s="8">
        <f t="shared" si="2"/>
        <v>485140235151.91608</v>
      </c>
      <c r="G40" s="7">
        <f t="shared" si="6"/>
        <v>29</v>
      </c>
      <c r="H40" s="11">
        <f t="shared" si="3"/>
        <v>24997.100265612251</v>
      </c>
      <c r="I40" s="19"/>
      <c r="J40" s="13" t="str">
        <f t="shared" si="4"/>
        <v/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40"/>
  <sheetViews>
    <sheetView workbookViewId="0">
      <selection activeCell="J24" sqref="J24"/>
    </sheetView>
  </sheetViews>
  <sheetFormatPr defaultRowHeight="16.5" x14ac:dyDescent="0.3"/>
  <cols>
    <col min="1" max="1" width="9" style="1"/>
    <col min="2" max="2" width="13" style="1" customWidth="1"/>
    <col min="3" max="3" width="9" style="1"/>
    <col min="4" max="4" width="9.25" style="1" customWidth="1"/>
    <col min="5" max="5" width="10.875" style="1" customWidth="1"/>
    <col min="6" max="6" width="9" style="1"/>
    <col min="7" max="7" width="11" style="1" customWidth="1"/>
    <col min="8" max="8" width="9.625" style="1" customWidth="1"/>
    <col min="9" max="9" width="11.25" style="1" customWidth="1"/>
    <col min="10" max="16384" width="9" style="1"/>
  </cols>
  <sheetData>
    <row r="1" spans="1:13" ht="17.25" thickBot="1" x14ac:dyDescent="0.35"/>
    <row r="2" spans="1:13" x14ac:dyDescent="0.3">
      <c r="F2" s="16" t="s">
        <v>5</v>
      </c>
      <c r="G2" s="3">
        <v>3821</v>
      </c>
    </row>
    <row r="3" spans="1:13" x14ac:dyDescent="0.3">
      <c r="F3" s="17" t="s">
        <v>6</v>
      </c>
      <c r="G3" s="4">
        <v>0.01</v>
      </c>
      <c r="I3" s="2" t="s">
        <v>19</v>
      </c>
      <c r="J3" s="2">
        <f>SUM(I11:I40)+1</f>
        <v>3821</v>
      </c>
      <c r="M3" s="1" t="s">
        <v>36</v>
      </c>
    </row>
    <row r="4" spans="1:13" ht="17.25" thickBot="1" x14ac:dyDescent="0.35">
      <c r="F4" s="23" t="s">
        <v>7</v>
      </c>
      <c r="G4" s="5">
        <v>0.1</v>
      </c>
      <c r="M4" s="1" t="s">
        <v>39</v>
      </c>
    </row>
    <row r="5" spans="1:13" x14ac:dyDescent="0.3">
      <c r="M5" s="1" t="s">
        <v>37</v>
      </c>
    </row>
    <row r="6" spans="1:13" x14ac:dyDescent="0.3">
      <c r="F6" s="6" t="s">
        <v>8</v>
      </c>
      <c r="G6" s="7">
        <f>G3+G4</f>
        <v>0.11</v>
      </c>
      <c r="I6" s="2" t="s">
        <v>11</v>
      </c>
      <c r="J6" s="2">
        <v>0</v>
      </c>
      <c r="M6" s="1" t="s">
        <v>38</v>
      </c>
    </row>
    <row r="7" spans="1:13" x14ac:dyDescent="0.3">
      <c r="F7" s="6" t="s">
        <v>9</v>
      </c>
      <c r="G7" s="7">
        <f>G4/G3</f>
        <v>10</v>
      </c>
      <c r="I7" s="2" t="s">
        <v>18</v>
      </c>
      <c r="J7" s="2">
        <f>(AVERAGE(J11:J40))^0.5</f>
        <v>612.00265619520405</v>
      </c>
    </row>
    <row r="8" spans="1:13" x14ac:dyDescent="0.3">
      <c r="F8" s="7" t="s">
        <v>17</v>
      </c>
      <c r="G8" s="7">
        <f>LN(G7)/G6</f>
        <v>20.932591754491327</v>
      </c>
      <c r="I8" s="2" t="s">
        <v>16</v>
      </c>
      <c r="J8" s="24">
        <f>(CORREL(H11:H40,I11:I40))^2</f>
        <v>0.97392616469085713</v>
      </c>
    </row>
    <row r="9" spans="1:13" ht="17.25" thickBot="1" x14ac:dyDescent="0.35"/>
    <row r="10" spans="1:13" x14ac:dyDescent="0.3">
      <c r="A10" s="7" t="s">
        <v>0</v>
      </c>
      <c r="B10" s="2" t="s">
        <v>1</v>
      </c>
      <c r="C10" s="2" t="s">
        <v>2</v>
      </c>
      <c r="D10" s="2" t="s">
        <v>3</v>
      </c>
      <c r="E10" s="2" t="s">
        <v>4</v>
      </c>
      <c r="G10" s="7" t="s">
        <v>13</v>
      </c>
      <c r="H10" s="10" t="s">
        <v>12</v>
      </c>
      <c r="I10" s="14" t="s">
        <v>10</v>
      </c>
      <c r="J10" s="12" t="s">
        <v>14</v>
      </c>
    </row>
    <row r="11" spans="1:13" x14ac:dyDescent="0.3">
      <c r="A11" s="8">
        <v>0</v>
      </c>
      <c r="B11" s="9">
        <f>((($G$6^2)/$G$3)*EXP(-$G$6*A11))/(1+($G$7*EXP(-$G$6*A11)))^2</f>
        <v>0.01</v>
      </c>
      <c r="C11" s="8">
        <f>B11*$G$2</f>
        <v>38.21</v>
      </c>
      <c r="D11" s="8">
        <f>C11</f>
        <v>38.21</v>
      </c>
      <c r="E11" s="8">
        <f>D11*D11</f>
        <v>1460.0041000000001</v>
      </c>
      <c r="G11" s="7">
        <f>J6</f>
        <v>0</v>
      </c>
      <c r="H11" s="11">
        <f>$G$2*((($G$6^2)/$G$3)*EXP(-$G$6*G11))/(1+($G$7*EXP(-$G$6*G11)))^2</f>
        <v>38.21</v>
      </c>
      <c r="I11" s="1">
        <v>100</v>
      </c>
      <c r="J11" s="13">
        <f>IF(ISBLANK(I11),"",(I11-H11)^2)</f>
        <v>3818.0041000000001</v>
      </c>
    </row>
    <row r="12" spans="1:13" x14ac:dyDescent="0.3">
      <c r="A12" s="8">
        <v>1</v>
      </c>
      <c r="B12" s="9">
        <f t="shared" ref="B12:B40" si="0">((($G$6^2)/$G$3)*EXP(-$G$6*A12))/(1+($G$7*EXP(-$G$6*A12)))^2</f>
        <v>1.0930473089039563E-2</v>
      </c>
      <c r="C12" s="8">
        <f t="shared" ref="C12:C40" si="1">B12*$G$2</f>
        <v>41.765337673220174</v>
      </c>
      <c r="D12" s="8">
        <f>C12+D11</f>
        <v>79.975337673220167</v>
      </c>
      <c r="E12" s="8">
        <f t="shared" ref="E12:E40" si="2">D12*D12</f>
        <v>6396.0546359455893</v>
      </c>
      <c r="G12" s="7">
        <f>G11+1</f>
        <v>1</v>
      </c>
      <c r="H12" s="11">
        <f t="shared" ref="H12:H40" si="3">$G$2*((($G$6^2)/$G$3)*EXP(-$G$6*G12))/(1+($G$7*EXP(-$G$6*G12)))^2</f>
        <v>41.765337673220174</v>
      </c>
      <c r="I12" s="1">
        <v>200</v>
      </c>
      <c r="J12" s="13">
        <f t="shared" ref="J12:J40" si="4">IF(ISBLANK(I12),"",(I12-H12)^2)</f>
        <v>25038.208361670029</v>
      </c>
    </row>
    <row r="13" spans="1:13" x14ac:dyDescent="0.3">
      <c r="A13" s="8">
        <v>2</v>
      </c>
      <c r="B13" s="9">
        <f t="shared" si="0"/>
        <v>1.1921422276911413E-2</v>
      </c>
      <c r="C13" s="8">
        <f t="shared" si="1"/>
        <v>45.551754520078511</v>
      </c>
      <c r="D13" s="8">
        <f t="shared" ref="D13:D40" si="5">C13+D12</f>
        <v>125.52709219329867</v>
      </c>
      <c r="E13" s="8">
        <f t="shared" si="2"/>
        <v>15757.050874504905</v>
      </c>
      <c r="G13" s="7">
        <f t="shared" ref="G13:G40" si="6">G12+1</f>
        <v>2</v>
      </c>
      <c r="H13" s="11">
        <f t="shared" si="3"/>
        <v>45.551754520078511</v>
      </c>
      <c r="I13" s="1">
        <v>320</v>
      </c>
      <c r="J13" s="13">
        <f t="shared" si="4"/>
        <v>75321.839447007238</v>
      </c>
    </row>
    <row r="14" spans="1:13" x14ac:dyDescent="0.3">
      <c r="A14" s="8">
        <v>3</v>
      </c>
      <c r="B14" s="9">
        <f t="shared" si="0"/>
        <v>1.297123345830886E-2</v>
      </c>
      <c r="C14" s="8">
        <f t="shared" si="1"/>
        <v>49.563083044198152</v>
      </c>
      <c r="D14" s="8">
        <f t="shared" si="5"/>
        <v>175.09017523749682</v>
      </c>
      <c r="E14" s="8">
        <f t="shared" si="2"/>
        <v>30656.569464697346</v>
      </c>
      <c r="G14" s="7">
        <f t="shared" si="6"/>
        <v>3</v>
      </c>
      <c r="H14" s="11">
        <f t="shared" si="3"/>
        <v>49.563083044198152</v>
      </c>
      <c r="I14" s="1">
        <v>450</v>
      </c>
      <c r="J14" s="13">
        <f t="shared" si="4"/>
        <v>160349.72446106776</v>
      </c>
    </row>
    <row r="15" spans="1:13" x14ac:dyDescent="0.3">
      <c r="A15" s="8">
        <v>4</v>
      </c>
      <c r="B15" s="9">
        <f t="shared" si="0"/>
        <v>1.4076912403518979E-2</v>
      </c>
      <c r="C15" s="8">
        <f t="shared" si="1"/>
        <v>53.787882293846017</v>
      </c>
      <c r="D15" s="8">
        <f t="shared" si="5"/>
        <v>228.87805753134285</v>
      </c>
      <c r="E15" s="8">
        <f t="shared" si="2"/>
        <v>52385.165219320683</v>
      </c>
      <c r="G15" s="7">
        <f t="shared" si="6"/>
        <v>4</v>
      </c>
      <c r="H15" s="11">
        <f t="shared" si="3"/>
        <v>53.787882293846017</v>
      </c>
      <c r="I15" s="1">
        <v>650</v>
      </c>
      <c r="J15" s="13">
        <f t="shared" si="4"/>
        <v>355468.88929965685</v>
      </c>
    </row>
    <row r="16" spans="1:13" x14ac:dyDescent="0.3">
      <c r="A16" s="8">
        <v>5</v>
      </c>
      <c r="B16" s="9">
        <f t="shared" si="0"/>
        <v>1.5233877655496931E-2</v>
      </c>
      <c r="C16" s="8">
        <f t="shared" si="1"/>
        <v>58.208646521653776</v>
      </c>
      <c r="D16" s="8">
        <f t="shared" si="5"/>
        <v>287.08670405299665</v>
      </c>
      <c r="E16" s="8">
        <f t="shared" si="2"/>
        <v>82418.775644012887</v>
      </c>
      <c r="G16" s="7">
        <f t="shared" si="6"/>
        <v>5</v>
      </c>
      <c r="H16" s="11">
        <f t="shared" si="3"/>
        <v>58.208646521653776</v>
      </c>
      <c r="I16" s="1">
        <v>900</v>
      </c>
      <c r="J16" s="13">
        <f>IF(ISBLANK(I16),"",(I16-H16)^2)</f>
        <v>708612.68279090594</v>
      </c>
    </row>
    <row r="17" spans="1:10" x14ac:dyDescent="0.3">
      <c r="A17" s="8">
        <v>6</v>
      </c>
      <c r="B17" s="9">
        <f t="shared" si="0"/>
        <v>1.6435767723498678E-2</v>
      </c>
      <c r="C17" s="8">
        <f t="shared" si="1"/>
        <v>62.801068471488449</v>
      </c>
      <c r="D17" s="8">
        <f t="shared" si="5"/>
        <v>349.88777252448511</v>
      </c>
      <c r="E17" s="8">
        <f t="shared" si="2"/>
        <v>122421.45336214584</v>
      </c>
      <c r="G17" s="7">
        <f t="shared" si="6"/>
        <v>6</v>
      </c>
      <c r="H17" s="11">
        <f t="shared" si="3"/>
        <v>62.801068471488442</v>
      </c>
      <c r="I17" s="1">
        <v>1200</v>
      </c>
      <c r="J17" s="13">
        <f t="shared" si="4"/>
        <v>1293221.4098695884</v>
      </c>
    </row>
    <row r="18" spans="1:10" x14ac:dyDescent="0.3">
      <c r="A18" s="8">
        <v>7</v>
      </c>
      <c r="B18" s="9">
        <f t="shared" si="0"/>
        <v>1.7674277446678599E-2</v>
      </c>
      <c r="C18" s="8">
        <f t="shared" si="1"/>
        <v>67.533414123758931</v>
      </c>
      <c r="D18" s="8">
        <f t="shared" si="5"/>
        <v>417.42118664824403</v>
      </c>
      <c r="E18" s="8">
        <f t="shared" si="2"/>
        <v>174240.44706282817</v>
      </c>
      <c r="G18" s="7">
        <f t="shared" si="6"/>
        <v>7</v>
      </c>
      <c r="H18" s="11">
        <f t="shared" si="3"/>
        <v>67.533414123758931</v>
      </c>
      <c r="I18" s="18"/>
      <c r="J18" s="13" t="str">
        <f t="shared" si="4"/>
        <v/>
      </c>
    </row>
    <row r="19" spans="1:10" x14ac:dyDescent="0.3">
      <c r="A19" s="8">
        <v>8</v>
      </c>
      <c r="B19" s="9">
        <f t="shared" si="0"/>
        <v>1.8939040915002703E-2</v>
      </c>
      <c r="C19" s="8">
        <f t="shared" si="1"/>
        <v>72.366075336225322</v>
      </c>
      <c r="D19" s="8">
        <f t="shared" si="5"/>
        <v>489.78726198446935</v>
      </c>
      <c r="E19" s="8">
        <f t="shared" si="2"/>
        <v>239891.56200224321</v>
      </c>
      <c r="G19" s="7">
        <f t="shared" si="6"/>
        <v>8</v>
      </c>
      <c r="H19" s="11">
        <f t="shared" si="3"/>
        <v>72.366075336225336</v>
      </c>
      <c r="I19" s="18"/>
      <c r="J19" s="13" t="str">
        <f t="shared" si="4"/>
        <v/>
      </c>
    </row>
    <row r="20" spans="1:10" x14ac:dyDescent="0.3">
      <c r="A20" s="8">
        <v>9</v>
      </c>
      <c r="B20" s="9">
        <f t="shared" si="0"/>
        <v>2.0217580067990747E-2</v>
      </c>
      <c r="C20" s="8">
        <f t="shared" si="1"/>
        <v>77.251373439792644</v>
      </c>
      <c r="D20" s="8">
        <f t="shared" si="5"/>
        <v>567.038635424262</v>
      </c>
      <c r="E20" s="8">
        <f t="shared" si="2"/>
        <v>321532.81406380911</v>
      </c>
      <c r="G20" s="7">
        <f t="shared" si="6"/>
        <v>9</v>
      </c>
      <c r="H20" s="11">
        <f t="shared" si="3"/>
        <v>77.251373439792644</v>
      </c>
      <c r="I20" s="18"/>
      <c r="J20" s="13" t="str">
        <f t="shared" si="4"/>
        <v/>
      </c>
    </row>
    <row r="21" spans="1:10" x14ac:dyDescent="0.3">
      <c r="A21" s="8">
        <v>10</v>
      </c>
      <c r="B21" s="9">
        <f t="shared" si="0"/>
        <v>2.1495338541034199E-2</v>
      </c>
      <c r="C21" s="8">
        <f t="shared" si="1"/>
        <v>82.133688565291678</v>
      </c>
      <c r="D21" s="8">
        <f t="shared" si="5"/>
        <v>649.17232398955366</v>
      </c>
      <c r="E21" s="8">
        <f t="shared" si="2"/>
        <v>421424.706233998</v>
      </c>
      <c r="G21" s="7">
        <f t="shared" si="6"/>
        <v>10</v>
      </c>
      <c r="H21" s="11">
        <f t="shared" si="3"/>
        <v>82.133688565291678</v>
      </c>
      <c r="I21" s="18"/>
      <c r="J21" s="13" t="str">
        <f t="shared" si="4"/>
        <v/>
      </c>
    </row>
    <row r="22" spans="1:10" x14ac:dyDescent="0.3">
      <c r="A22" s="8">
        <v>11</v>
      </c>
      <c r="B22" s="9">
        <f t="shared" si="0"/>
        <v>2.2755818972306024E-2</v>
      </c>
      <c r="C22" s="8">
        <f t="shared" si="1"/>
        <v>86.949984293181316</v>
      </c>
      <c r="D22" s="8">
        <f t="shared" si="5"/>
        <v>736.12230828273493</v>
      </c>
      <c r="E22" s="8">
        <f t="shared" si="2"/>
        <v>541876.05275150191</v>
      </c>
      <c r="G22" s="7">
        <f t="shared" si="6"/>
        <v>11</v>
      </c>
      <c r="H22" s="11">
        <f t="shared" si="3"/>
        <v>86.94998429318133</v>
      </c>
      <c r="I22" s="18"/>
      <c r="J22" s="13" t="str">
        <f t="shared" si="4"/>
        <v/>
      </c>
    </row>
    <row r="23" spans="1:10" x14ac:dyDescent="0.3">
      <c r="A23" s="8">
        <v>12</v>
      </c>
      <c r="B23" s="9">
        <f t="shared" si="0"/>
        <v>2.3980838363354424E-2</v>
      </c>
      <c r="C23" s="8">
        <f t="shared" si="1"/>
        <v>91.63078338637726</v>
      </c>
      <c r="D23" s="8">
        <f t="shared" si="5"/>
        <v>827.75309166911222</v>
      </c>
      <c r="E23" s="8">
        <f t="shared" si="2"/>
        <v>685175.18076777365</v>
      </c>
      <c r="G23" s="7">
        <f t="shared" si="6"/>
        <v>12</v>
      </c>
      <c r="H23" s="11">
        <f t="shared" si="3"/>
        <v>91.63078338637726</v>
      </c>
      <c r="I23" s="18"/>
      <c r="J23" s="13" t="str">
        <f t="shared" si="4"/>
        <v/>
      </c>
    </row>
    <row r="24" spans="1:10" x14ac:dyDescent="0.3">
      <c r="A24" s="8">
        <v>13</v>
      </c>
      <c r="B24" s="9">
        <f t="shared" si="0"/>
        <v>2.5150909920013849E-2</v>
      </c>
      <c r="C24" s="8">
        <f t="shared" si="1"/>
        <v>96.101626804372913</v>
      </c>
      <c r="D24" s="8">
        <f t="shared" si="5"/>
        <v>923.85471847348515</v>
      </c>
      <c r="E24" s="8">
        <f t="shared" si="2"/>
        <v>853507.54084572254</v>
      </c>
      <c r="G24" s="7">
        <f t="shared" si="6"/>
        <v>13</v>
      </c>
      <c r="H24" s="11">
        <f t="shared" si="3"/>
        <v>96.101626804372927</v>
      </c>
      <c r="I24" s="18"/>
      <c r="J24" s="13" t="str">
        <f t="shared" si="4"/>
        <v/>
      </c>
    </row>
    <row r="25" spans="1:10" x14ac:dyDescent="0.3">
      <c r="A25" s="8">
        <v>14</v>
      </c>
      <c r="B25" s="9">
        <f t="shared" si="0"/>
        <v>2.6245751097929235E-2</v>
      </c>
      <c r="C25" s="8">
        <f t="shared" si="1"/>
        <v>100.28501494518761</v>
      </c>
      <c r="D25" s="8">
        <f t="shared" si="5"/>
        <v>1024.1397334186727</v>
      </c>
      <c r="E25" s="8">
        <f t="shared" si="2"/>
        <v>1048862.1935668699</v>
      </c>
      <c r="G25" s="7">
        <f t="shared" si="6"/>
        <v>14</v>
      </c>
      <c r="H25" s="11">
        <f t="shared" si="3"/>
        <v>100.2850149451876</v>
      </c>
      <c r="I25" s="18"/>
      <c r="J25" s="13" t="str">
        <f t="shared" si="4"/>
        <v/>
      </c>
    </row>
    <row r="26" spans="1:10" x14ac:dyDescent="0.3">
      <c r="A26" s="8">
        <v>15</v>
      </c>
      <c r="B26" s="9">
        <f t="shared" si="0"/>
        <v>2.7244906749718713E-2</v>
      </c>
      <c r="C26" s="8">
        <f t="shared" si="1"/>
        <v>104.1027886906752</v>
      </c>
      <c r="D26" s="8">
        <f t="shared" si="5"/>
        <v>1128.2425221093479</v>
      </c>
      <c r="E26" s="8">
        <f t="shared" si="2"/>
        <v>1272931.1886956624</v>
      </c>
      <c r="G26" s="7">
        <f t="shared" si="6"/>
        <v>15</v>
      </c>
      <c r="H26" s="11">
        <f t="shared" si="3"/>
        <v>104.1027886906752</v>
      </c>
      <c r="I26" s="18"/>
      <c r="J26" s="13" t="str">
        <f t="shared" si="4"/>
        <v/>
      </c>
    </row>
    <row r="27" spans="1:10" x14ac:dyDescent="0.3">
      <c r="A27" s="8">
        <v>16</v>
      </c>
      <c r="B27" s="9">
        <f t="shared" si="0"/>
        <v>2.8128464189602943E-2</v>
      </c>
      <c r="C27" s="8">
        <f t="shared" si="1"/>
        <v>107.47886166847285</v>
      </c>
      <c r="D27" s="8">
        <f t="shared" si="5"/>
        <v>1235.7213837778206</v>
      </c>
      <c r="E27" s="8">
        <f t="shared" si="2"/>
        <v>1527007.3383257717</v>
      </c>
      <c r="G27" s="7">
        <f t="shared" si="6"/>
        <v>16</v>
      </c>
      <c r="H27" s="11">
        <f t="shared" si="3"/>
        <v>107.47886166847285</v>
      </c>
      <c r="I27" s="18"/>
      <c r="J27" s="13" t="str">
        <f t="shared" si="4"/>
        <v/>
      </c>
    </row>
    <row r="28" spans="1:10" x14ac:dyDescent="0.3">
      <c r="A28" s="8">
        <v>17</v>
      </c>
      <c r="B28" s="9">
        <f t="shared" si="0"/>
        <v>2.8877824966769345E-2</v>
      </c>
      <c r="C28" s="8">
        <f t="shared" si="1"/>
        <v>110.34216919802567</v>
      </c>
      <c r="D28" s="8">
        <f t="shared" si="5"/>
        <v>1346.0635529758463</v>
      </c>
      <c r="E28" s="8">
        <f t="shared" si="2"/>
        <v>1811887.0886499588</v>
      </c>
      <c r="G28" s="7">
        <f t="shared" si="6"/>
        <v>17</v>
      </c>
      <c r="H28" s="11">
        <f t="shared" si="3"/>
        <v>110.34216919802567</v>
      </c>
      <c r="I28" s="18"/>
      <c r="J28" s="13" t="str">
        <f t="shared" si="4"/>
        <v/>
      </c>
    </row>
    <row r="29" spans="1:10" x14ac:dyDescent="0.3">
      <c r="A29" s="8">
        <v>18</v>
      </c>
      <c r="B29" s="9">
        <f t="shared" si="0"/>
        <v>2.9476487796209028E-2</v>
      </c>
      <c r="C29" s="8">
        <f t="shared" si="1"/>
        <v>112.62965986931469</v>
      </c>
      <c r="D29" s="8">
        <f t="shared" si="5"/>
        <v>1458.693212845161</v>
      </c>
      <c r="E29" s="8">
        <f t="shared" si="2"/>
        <v>2127785.8892005384</v>
      </c>
      <c r="G29" s="7">
        <f t="shared" si="6"/>
        <v>18</v>
      </c>
      <c r="H29" s="11">
        <f t="shared" si="3"/>
        <v>112.62965986931469</v>
      </c>
      <c r="I29" s="18"/>
      <c r="J29" s="13" t="str">
        <f t="shared" si="4"/>
        <v/>
      </c>
    </row>
    <row r="30" spans="1:10" x14ac:dyDescent="0.3">
      <c r="A30" s="8">
        <v>19</v>
      </c>
      <c r="B30" s="9">
        <f t="shared" si="0"/>
        <v>2.9910790144336095E-2</v>
      </c>
      <c r="C30" s="8">
        <f t="shared" si="1"/>
        <v>114.28912914150821</v>
      </c>
      <c r="D30" s="8">
        <f t="shared" si="5"/>
        <v>1572.9823419866693</v>
      </c>
      <c r="E30" s="8">
        <f t="shared" si="2"/>
        <v>2474273.4482018673</v>
      </c>
      <c r="G30" s="7">
        <f t="shared" si="6"/>
        <v>19</v>
      </c>
      <c r="H30" s="11">
        <f t="shared" si="3"/>
        <v>114.28912914150821</v>
      </c>
      <c r="I30" s="18"/>
      <c r="J30" s="13" t="str">
        <f t="shared" si="4"/>
        <v/>
      </c>
    </row>
    <row r="31" spans="1:10" x14ac:dyDescent="0.3">
      <c r="A31" s="8">
        <v>20</v>
      </c>
      <c r="B31" s="9">
        <f t="shared" si="0"/>
        <v>3.0170553890051011E-2</v>
      </c>
      <c r="C31" s="8">
        <f t="shared" si="1"/>
        <v>115.28168641388491</v>
      </c>
      <c r="D31" s="8">
        <f t="shared" si="5"/>
        <v>1688.2640284005543</v>
      </c>
      <c r="E31" s="8">
        <f t="shared" si="2"/>
        <v>2850235.4295912674</v>
      </c>
      <c r="G31" s="7">
        <f t="shared" si="6"/>
        <v>20</v>
      </c>
      <c r="H31" s="11">
        <f t="shared" si="3"/>
        <v>115.28168641388491</v>
      </c>
      <c r="I31" s="18"/>
      <c r="J31" s="13" t="str">
        <f t="shared" si="4"/>
        <v/>
      </c>
    </row>
    <row r="32" spans="1:10" x14ac:dyDescent="0.3">
      <c r="A32" s="8">
        <v>21</v>
      </c>
      <c r="B32" s="9">
        <f t="shared" si="0"/>
        <v>3.0249584211162906E-2</v>
      </c>
      <c r="C32" s="8">
        <f t="shared" si="1"/>
        <v>115.58366127085347</v>
      </c>
      <c r="D32" s="8">
        <f t="shared" si="5"/>
        <v>1803.8476896714078</v>
      </c>
      <c r="E32" s="8">
        <f t="shared" si="2"/>
        <v>3253866.4875328755</v>
      </c>
      <c r="G32" s="7">
        <f t="shared" si="6"/>
        <v>21</v>
      </c>
      <c r="H32" s="11">
        <f t="shared" si="3"/>
        <v>115.58366127085345</v>
      </c>
      <c r="I32" s="18"/>
      <c r="J32" s="13" t="str">
        <f t="shared" si="4"/>
        <v/>
      </c>
    </row>
    <row r="33" spans="1:15" x14ac:dyDescent="0.3">
      <c r="A33" s="8">
        <v>22</v>
      </c>
      <c r="B33" s="9">
        <f t="shared" si="0"/>
        <v>3.0145980494815802E-2</v>
      </c>
      <c r="C33" s="8">
        <f t="shared" si="1"/>
        <v>115.18779147069118</v>
      </c>
      <c r="D33" s="8">
        <f t="shared" si="5"/>
        <v>1919.0354811420989</v>
      </c>
      <c r="E33" s="8">
        <f t="shared" si="2"/>
        <v>3682697.1778822872</v>
      </c>
      <c r="G33" s="7">
        <f t="shared" si="6"/>
        <v>22</v>
      </c>
      <c r="H33" s="11">
        <f t="shared" si="3"/>
        <v>115.18779147069117</v>
      </c>
      <c r="I33" s="18"/>
      <c r="J33" s="13" t="str">
        <f t="shared" si="4"/>
        <v/>
      </c>
      <c r="L33" s="33" t="s">
        <v>20</v>
      </c>
      <c r="M33" s="34"/>
      <c r="N33" s="34"/>
      <c r="O33" s="35"/>
    </row>
    <row r="34" spans="1:15" x14ac:dyDescent="0.3">
      <c r="A34" s="8">
        <v>23</v>
      </c>
      <c r="B34" s="9">
        <f t="shared" si="0"/>
        <v>2.9862232811126609E-2</v>
      </c>
      <c r="C34" s="8">
        <f t="shared" si="1"/>
        <v>114.10359157131478</v>
      </c>
      <c r="D34" s="8">
        <f t="shared" si="5"/>
        <v>2033.1390727134137</v>
      </c>
      <c r="E34" s="8">
        <f t="shared" si="2"/>
        <v>4133654.48899396</v>
      </c>
      <c r="G34" s="7">
        <f t="shared" si="6"/>
        <v>23</v>
      </c>
      <c r="H34" s="11">
        <f t="shared" si="3"/>
        <v>114.10359157131477</v>
      </c>
      <c r="I34" s="18"/>
      <c r="J34" s="13" t="str">
        <f t="shared" si="4"/>
        <v/>
      </c>
      <c r="L34" s="36" t="s">
        <v>23</v>
      </c>
      <c r="M34" s="37"/>
      <c r="N34" s="37"/>
      <c r="O34" s="38"/>
    </row>
    <row r="35" spans="1:15" x14ac:dyDescent="0.3">
      <c r="A35" s="8">
        <v>24</v>
      </c>
      <c r="B35" s="9">
        <f t="shared" si="0"/>
        <v>2.940509562206689E-2</v>
      </c>
      <c r="C35" s="8">
        <f t="shared" si="1"/>
        <v>112.35687037191759</v>
      </c>
      <c r="D35" s="8">
        <f t="shared" si="5"/>
        <v>2145.4959430853314</v>
      </c>
      <c r="E35" s="8">
        <f t="shared" si="2"/>
        <v>4603152.8417956159</v>
      </c>
      <c r="G35" s="7">
        <f t="shared" si="6"/>
        <v>24</v>
      </c>
      <c r="H35" s="11">
        <f t="shared" si="3"/>
        <v>112.35687037191759</v>
      </c>
      <c r="I35" s="18"/>
      <c r="J35" s="13" t="str">
        <f t="shared" si="4"/>
        <v/>
      </c>
      <c r="L35" s="36" t="s">
        <v>21</v>
      </c>
      <c r="M35" s="37"/>
      <c r="N35" s="37"/>
      <c r="O35" s="38"/>
    </row>
    <row r="36" spans="1:15" x14ac:dyDescent="0.3">
      <c r="A36" s="8">
        <v>25</v>
      </c>
      <c r="B36" s="9">
        <f t="shared" si="0"/>
        <v>2.8785249616410009E-2</v>
      </c>
      <c r="C36" s="8">
        <f t="shared" si="1"/>
        <v>109.98843878430264</v>
      </c>
      <c r="D36" s="8">
        <f t="shared" si="5"/>
        <v>2255.484381869634</v>
      </c>
      <c r="E36" s="8">
        <f t="shared" si="2"/>
        <v>5087209.796857845</v>
      </c>
      <c r="G36" s="7">
        <f t="shared" si="6"/>
        <v>25</v>
      </c>
      <c r="H36" s="11">
        <f t="shared" si="3"/>
        <v>109.98843878430263</v>
      </c>
      <c r="I36" s="18"/>
      <c r="J36" s="13" t="str">
        <f t="shared" si="4"/>
        <v/>
      </c>
      <c r="L36" s="36" t="s">
        <v>24</v>
      </c>
      <c r="M36" s="37"/>
      <c r="N36" s="37"/>
      <c r="O36" s="38"/>
    </row>
    <row r="37" spans="1:15" x14ac:dyDescent="0.3">
      <c r="A37" s="8">
        <v>26</v>
      </c>
      <c r="B37" s="9">
        <f t="shared" si="0"/>
        <v>2.8016780361919628E-2</v>
      </c>
      <c r="C37" s="8">
        <f t="shared" si="1"/>
        <v>107.05211776289489</v>
      </c>
      <c r="D37" s="8">
        <f t="shared" si="5"/>
        <v>2362.5364996325288</v>
      </c>
      <c r="E37" s="8">
        <f t="shared" si="2"/>
        <v>5581578.7120959219</v>
      </c>
      <c r="G37" s="7">
        <f t="shared" si="6"/>
        <v>26</v>
      </c>
      <c r="H37" s="11">
        <f t="shared" si="3"/>
        <v>107.05211776289489</v>
      </c>
      <c r="I37" s="18"/>
      <c r="J37" s="13" t="str">
        <f t="shared" si="4"/>
        <v/>
      </c>
      <c r="L37" s="36" t="s">
        <v>22</v>
      </c>
      <c r="M37" s="37"/>
      <c r="N37" s="37"/>
      <c r="O37" s="38"/>
    </row>
    <row r="38" spans="1:15" x14ac:dyDescent="0.3">
      <c r="A38" s="8">
        <v>27</v>
      </c>
      <c r="B38" s="9">
        <f t="shared" si="0"/>
        <v>2.7116516601867074E-2</v>
      </c>
      <c r="C38" s="8">
        <f t="shared" si="1"/>
        <v>103.61220993573409</v>
      </c>
      <c r="D38" s="8">
        <f t="shared" si="5"/>
        <v>2466.1487095682628</v>
      </c>
      <c r="E38" s="8">
        <f t="shared" si="2"/>
        <v>6081889.4577052081</v>
      </c>
      <c r="G38" s="7">
        <f t="shared" si="6"/>
        <v>27</v>
      </c>
      <c r="H38" s="11">
        <f t="shared" si="3"/>
        <v>103.61220993573409</v>
      </c>
      <c r="I38" s="18"/>
      <c r="J38" s="13" t="str">
        <f t="shared" si="4"/>
        <v/>
      </c>
      <c r="L38" s="30" t="s">
        <v>25</v>
      </c>
      <c r="M38" s="31"/>
      <c r="N38" s="31"/>
      <c r="O38" s="32"/>
    </row>
    <row r="39" spans="1:15" x14ac:dyDescent="0.3">
      <c r="A39" s="8">
        <v>28</v>
      </c>
      <c r="B39" s="9">
        <f t="shared" si="0"/>
        <v>2.6103279900963085E-2</v>
      </c>
      <c r="C39" s="8">
        <f t="shared" si="1"/>
        <v>99.740632501579952</v>
      </c>
      <c r="D39" s="8">
        <f t="shared" si="5"/>
        <v>2565.8893420698428</v>
      </c>
      <c r="E39" s="8">
        <f t="shared" si="2"/>
        <v>6583788.115747611</v>
      </c>
      <c r="G39" s="7">
        <f t="shared" si="6"/>
        <v>28</v>
      </c>
      <c r="H39" s="11">
        <f t="shared" si="3"/>
        <v>99.740632501579938</v>
      </c>
      <c r="I39" s="18"/>
      <c r="J39" s="13" t="str">
        <f t="shared" si="4"/>
        <v/>
      </c>
    </row>
    <row r="40" spans="1:15" ht="17.25" thickBot="1" x14ac:dyDescent="0.35">
      <c r="A40" s="8">
        <v>29</v>
      </c>
      <c r="B40" s="9">
        <f t="shared" si="0"/>
        <v>2.4997100265612249E-2</v>
      </c>
      <c r="C40" s="8">
        <f t="shared" si="1"/>
        <v>95.513920114904408</v>
      </c>
      <c r="D40" s="8">
        <f t="shared" si="5"/>
        <v>2661.4032621847473</v>
      </c>
      <c r="E40" s="8">
        <f t="shared" si="2"/>
        <v>7083067.3239676151</v>
      </c>
      <c r="G40" s="7">
        <f t="shared" si="6"/>
        <v>29</v>
      </c>
      <c r="H40" s="11">
        <f t="shared" si="3"/>
        <v>95.513920114904394</v>
      </c>
      <c r="I40" s="19"/>
      <c r="J40" s="13" t="str">
        <f t="shared" si="4"/>
        <v/>
      </c>
    </row>
  </sheetData>
  <mergeCells count="6">
    <mergeCell ref="L38:O38"/>
    <mergeCell ref="L33:O33"/>
    <mergeCell ref="L34:O34"/>
    <mergeCell ref="L35:O35"/>
    <mergeCell ref="L36:O36"/>
    <mergeCell ref="L37:O37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16"/>
  <sheetViews>
    <sheetView workbookViewId="0">
      <selection activeCell="A10" sqref="A10"/>
    </sheetView>
  </sheetViews>
  <sheetFormatPr defaultRowHeight="16.5" x14ac:dyDescent="0.3"/>
  <cols>
    <col min="1" max="1" width="15.125" customWidth="1"/>
  </cols>
  <sheetData>
    <row r="2" spans="1:2" x14ac:dyDescent="0.3">
      <c r="A2" s="25" t="s">
        <v>26</v>
      </c>
    </row>
    <row r="3" spans="1:2" x14ac:dyDescent="0.3">
      <c r="A3" s="25" t="s">
        <v>27</v>
      </c>
    </row>
    <row r="4" spans="1:2" x14ac:dyDescent="0.3">
      <c r="A4" s="25"/>
    </row>
    <row r="5" spans="1:2" x14ac:dyDescent="0.3">
      <c r="A5" s="25" t="s">
        <v>28</v>
      </c>
    </row>
    <row r="6" spans="1:2" ht="17.25" thickBot="1" x14ac:dyDescent="0.35">
      <c r="A6" s="25" t="s">
        <v>40</v>
      </c>
    </row>
    <row r="7" spans="1:2" ht="17.25" thickBot="1" x14ac:dyDescent="0.35">
      <c r="A7" s="26">
        <v>50000000</v>
      </c>
      <c r="B7" s="1" t="s">
        <v>29</v>
      </c>
    </row>
    <row r="8" spans="1:2" x14ac:dyDescent="0.3">
      <c r="A8" s="25"/>
    </row>
    <row r="9" spans="1:2" ht="17.25" thickBot="1" x14ac:dyDescent="0.35">
      <c r="A9" s="25" t="s">
        <v>31</v>
      </c>
    </row>
    <row r="10" spans="1:2" ht="17.25" thickBot="1" x14ac:dyDescent="0.35">
      <c r="A10" s="27">
        <v>2</v>
      </c>
      <c r="B10" s="1" t="s">
        <v>30</v>
      </c>
    </row>
    <row r="12" spans="1:2" ht="17.25" thickBot="1" x14ac:dyDescent="0.35">
      <c r="A12" s="1" t="s">
        <v>32</v>
      </c>
    </row>
    <row r="13" spans="1:2" ht="17.25" thickBot="1" x14ac:dyDescent="0.35">
      <c r="A13" s="28">
        <v>2000</v>
      </c>
      <c r="B13" s="1" t="s">
        <v>33</v>
      </c>
    </row>
    <row r="15" spans="1:2" ht="17.25" thickBot="1" x14ac:dyDescent="0.35">
      <c r="A15" s="1" t="s">
        <v>35</v>
      </c>
    </row>
    <row r="16" spans="1:2" ht="17.25" thickBot="1" x14ac:dyDescent="0.35">
      <c r="A16" s="29">
        <f>A7*A10*A13</f>
        <v>200000000000</v>
      </c>
      <c r="B16" s="1" t="s">
        <v>34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pq만 추정</vt:lpstr>
      <vt:lpstr>mpq 추정</vt:lpstr>
      <vt:lpstr>m 추정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hmkang</cp:lastModifiedBy>
  <cp:lastPrinted>2014-02-27T10:50:46Z</cp:lastPrinted>
  <dcterms:created xsi:type="dcterms:W3CDTF">2014-02-27T08:30:45Z</dcterms:created>
  <dcterms:modified xsi:type="dcterms:W3CDTF">2022-06-15T21:31:27Z</dcterms:modified>
</cp:coreProperties>
</file>